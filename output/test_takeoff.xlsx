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anel Takeoff Schedule" sheetId="2" state="visible" r:id="rId2"/>
    <sheet name="Nesting BOM &amp; Cut Plan" sheetId="3" state="visible" r:id="rId3"/>
    <sheet name="Offcut &amp; Remna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"/>
  </numFmts>
  <fonts count="10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9"/>
    </font>
    <font>
      <name val="Segoe UI"/>
      <b val="1"/>
      <color rgb="000F172A"/>
      <sz val="12"/>
    </font>
    <font>
      <name val="Segoe UI"/>
      <b val="1"/>
      <color rgb="001E293B"/>
      <sz val="10"/>
    </font>
    <font>
      <name val="Segoe UI"/>
      <color rgb="00334155"/>
      <sz val="9.5"/>
    </font>
    <font>
      <name val="Segoe UI"/>
      <b val="1"/>
      <color rgb="000369A1"/>
      <sz val="18"/>
    </font>
    <font>
      <name val="Segoe UI"/>
      <b val="1"/>
      <color rgb="00FFFFFF"/>
      <sz val="10"/>
    </font>
    <font>
      <name val="Segoe UI"/>
      <color rgb="00B91C1C"/>
      <sz val="9.5"/>
    </font>
    <font>
      <name val="Segoe UI"/>
      <b val="1"/>
      <color rgb="00047857"/>
      <sz val="9.5"/>
    </font>
  </fonts>
  <fills count="8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right" vertical="center"/>
    </xf>
    <xf numFmtId="4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horizontal="right" vertical="center"/>
    </xf>
    <xf numFmtId="4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4" fillId="5" borderId="2" pivotButton="0" quotePrefix="0" xfId="0"/>
    <xf numFmtId="4" fontId="4" fillId="5" borderId="2" pivotButton="0" quotePrefix="0" xfId="0"/>
    <xf numFmtId="0" fontId="0" fillId="5" borderId="2" applyAlignment="1" pivotButton="0" quotePrefix="0" xfId="0">
      <alignment horizontal="center" vertical="center"/>
    </xf>
    <xf numFmtId="0" fontId="5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4" borderId="1" pivotButton="0" quotePrefix="0" xfId="0"/>
    <xf numFmtId="166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2" pivotButton="0" quotePrefix="0" xfId="0"/>
    <xf numFmtId="166" fontId="4" fillId="5" borderId="2" pivotButton="0" quotePrefix="0" xfId="0"/>
    <xf numFmtId="0" fontId="7" fillId="6" borderId="0" applyAlignment="1" pivotButton="0" quotePrefix="0" xfId="0">
      <alignment horizontal="center" vertical="center"/>
    </xf>
    <xf numFmtId="165" fontId="4" fillId="5" borderId="2" pivotButton="0" quotePrefix="0" xfId="0"/>
    <xf numFmtId="0" fontId="7" fillId="7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9" customWidth="1" min="2" max="2"/>
    <col width="28" customWidth="1" min="3" max="3"/>
    <col width="23" customWidth="1" min="4" max="4"/>
    <col width="27" customWidth="1" min="5" max="5"/>
    <col width="13" customWidth="1" min="6" max="6"/>
    <col width="24" customWidth="1" min="7" max="7"/>
    <col width="12" customWidth="1" min="8" max="8"/>
    <col width="25" customWidth="1" min="9" max="9"/>
    <col width="12" customWidth="1" min="10" max="10"/>
  </cols>
  <sheetData>
    <row r="1"/>
    <row r="2">
      <c r="B2" s="1" t="inlineStr">
        <is>
          <t>ACOUSTIC PANEL TAKEOFF &amp; NESTING REPORT</t>
        </is>
      </c>
    </row>
    <row r="3">
      <c r="B3" s="2" t="inlineStr">
        <is>
          <t>Generated by Antigravity AEC Automation Engine | 2026-10-21 19:58</t>
        </is>
      </c>
    </row>
    <row r="4"/>
    <row r="5">
      <c r="B5" s="3" t="inlineStr">
        <is>
          <t>PROJECT METADATA</t>
        </is>
      </c>
      <c r="E5" s="4" t="inlineStr">
        <is>
          <t>TOTAL NET ACOUSTIC AREA
141.98 m²</t>
        </is>
      </c>
      <c r="G5" s="4" t="inlineStr">
        <is>
          <t>TOTAL PANELS / TILES
37</t>
        </is>
      </c>
      <c r="I5" s="4" t="inlineStr">
        <is>
          <t>STOCK SHEETS REQUIRED
18 sheets</t>
        </is>
      </c>
    </row>
    <row r="6">
      <c r="B6" s="5" t="inlineStr">
        <is>
          <t>Project Name:</t>
        </is>
      </c>
      <c r="C6" s="6" t="inlineStr">
        <is>
          <t>Acoustic Takeoff Project</t>
        </is>
      </c>
    </row>
    <row r="7">
      <c r="B7" s="5" t="inlineStr">
        <is>
          <t>Drawing Number / Ref:</t>
        </is>
      </c>
      <c r="C7" s="6" t="inlineStr">
        <is>
          <t>A-101</t>
        </is>
      </c>
    </row>
    <row r="8">
      <c r="B8" s="5" t="inlineStr">
        <is>
          <t>Drawing Scale:</t>
        </is>
      </c>
      <c r="C8" s="6" t="inlineStr">
        <is>
          <t>1:50</t>
        </is>
      </c>
    </row>
    <row r="9">
      <c r="B9" s="5" t="inlineStr">
        <is>
          <t>Measurement Units:</t>
        </is>
      </c>
      <c r="C9" s="6" t="inlineStr">
        <is>
          <t>MM</t>
        </is>
      </c>
      <c r="E9" s="4" t="inlineStr">
        <is>
          <t>OVERALL MATERIAL YIELD
52.6%</t>
        </is>
      </c>
      <c r="G9" s="4" t="inlineStr">
        <is>
          <t>SCRAP / OFFCUT WASTE
47.4%</t>
        </is>
      </c>
      <c r="I9" s="4" t="inlineStr">
        <is>
          <t>ESTIMATED SHEET COST
$1,170.00</t>
        </is>
      </c>
    </row>
    <row r="10">
      <c r="B10" s="5" t="inlineStr">
        <is>
          <t>Report Date:</t>
        </is>
      </c>
      <c r="C10" s="6" t="inlineStr">
        <is>
          <t>2026-10-21</t>
        </is>
      </c>
    </row>
    <row r="11">
      <c r="B11" s="5" t="inlineStr">
        <is>
          <t>Stock Sheet Specification:</t>
        </is>
      </c>
      <c r="C11" s="6" t="inlineStr">
        <is>
          <t>2400 × 1200 mm</t>
        </is>
      </c>
    </row>
    <row r="12">
      <c r="B12" s="5" t="inlineStr">
        <is>
          <t>Blade Kerf Allowance:</t>
        </is>
      </c>
      <c r="C12" s="6" t="inlineStr">
        <is>
          <t>3.0 mm</t>
        </is>
      </c>
    </row>
    <row r="13"/>
    <row r="14"/>
    <row r="15">
      <c r="B15" s="3" t="inlineStr">
        <is>
          <t>ACOUSTIC COMPONENT BREAKDOWN</t>
        </is>
      </c>
    </row>
    <row r="16"/>
    <row r="17">
      <c r="B17" s="7" t="inlineStr">
        <is>
          <t>Category</t>
        </is>
      </c>
      <c r="C17" s="7" t="inlineStr">
        <is>
          <t>Piece Count</t>
        </is>
      </c>
      <c r="D17" s="7" t="inlineStr">
        <is>
          <t>Total Net Area (m²)</t>
        </is>
      </c>
      <c r="E17" s="7" t="inlineStr">
        <is>
          <t>Avg Length</t>
        </is>
      </c>
      <c r="F17" s="7" t="inlineStr">
        <is>
          <t>Avg Width</t>
        </is>
      </c>
      <c r="G17" s="7" t="inlineStr">
        <is>
          <t>% of Total Net Area</t>
        </is>
      </c>
    </row>
    <row r="18">
      <c r="B18" s="8" t="inlineStr">
        <is>
          <t>Ceiling Cloud / Large Panel</t>
        </is>
      </c>
      <c r="C18" s="9" t="n">
        <v>8</v>
      </c>
      <c r="D18" s="10" t="n">
        <v>117.802</v>
      </c>
      <c r="E18" s="11" t="n">
        <v>4442.8</v>
      </c>
      <c r="F18" s="11" t="n">
        <v>2535.6</v>
      </c>
      <c r="G18" s="12" t="n">
        <v>83</v>
      </c>
    </row>
    <row r="19">
      <c r="B19" s="13" t="inlineStr">
        <is>
          <t>Acoustic Baffle / Slat</t>
        </is>
      </c>
      <c r="C19" s="14" t="n">
        <v>3</v>
      </c>
      <c r="D19" s="15" t="n">
        <v>0.317</v>
      </c>
      <c r="E19" s="16" t="n">
        <v>1000.1</v>
      </c>
      <c r="F19" s="16" t="n">
        <v>105.8</v>
      </c>
      <c r="G19" s="17" t="n">
        <v>0.2</v>
      </c>
    </row>
    <row r="20">
      <c r="B20" s="8" t="inlineStr">
        <is>
          <t>Standard Wall Panel</t>
        </is>
      </c>
      <c r="C20" s="9" t="n">
        <v>26</v>
      </c>
      <c r="D20" s="10" t="n">
        <v>23.857</v>
      </c>
      <c r="E20" s="11" t="n">
        <v>1112.6</v>
      </c>
      <c r="F20" s="11" t="n">
        <v>824.3</v>
      </c>
      <c r="G20" s="12" t="n">
        <v>16.8</v>
      </c>
    </row>
    <row r="21">
      <c r="B21" s="18" t="inlineStr">
        <is>
          <t>TOTAL</t>
        </is>
      </c>
      <c r="C21" s="18">
        <f>SUM(C18:C20)</f>
        <v/>
      </c>
      <c r="D21" s="19">
        <f>SUM(D18:D20)</f>
        <v/>
      </c>
      <c r="E21" s="20" t="inlineStr">
        <is>
          <t>-</t>
        </is>
      </c>
      <c r="F21" s="20" t="inlineStr">
        <is>
          <t>-</t>
        </is>
      </c>
      <c r="G21" s="18" t="inlineStr">
        <is>
          <t>100.0%</t>
        </is>
      </c>
    </row>
  </sheetData>
  <mergeCells count="6">
    <mergeCell ref="G5:H7"/>
    <mergeCell ref="E5:F7"/>
    <mergeCell ref="E9:F11"/>
    <mergeCell ref="I9:J11"/>
    <mergeCell ref="I5:J7"/>
    <mergeCell ref="G9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13" customWidth="1" min="3" max="3"/>
    <col width="16" customWidth="1" min="4" max="4"/>
    <col width="19" customWidth="1" min="5" max="5"/>
    <col width="18" customWidth="1" min="6" max="6"/>
    <col width="19" customWidth="1" min="7" max="7"/>
    <col width="20" customWidth="1" min="8" max="8"/>
    <col width="17" customWidth="1" min="9" max="9"/>
    <col width="18" customWidth="1" min="10" max="10"/>
    <col width="17" customWidth="1" min="11" max="11"/>
    <col width="14" customWidth="1" min="12" max="12"/>
    <col width="14" customWidth="1" min="13" max="13"/>
  </cols>
  <sheetData>
    <row r="1">
      <c r="A1" s="3" t="inlineStr">
        <is>
          <t>ITEMIZED ACOUSTIC PANEL TAKEOFF SCHEDULE</t>
        </is>
      </c>
    </row>
    <row r="2"/>
    <row r="3">
      <c r="A3" s="7" t="inlineStr">
        <is>
          <t>Item Tag</t>
        </is>
      </c>
      <c r="B3" s="7" t="inlineStr">
        <is>
          <t>Category</t>
        </is>
      </c>
      <c r="C3" s="7" t="inlineStr">
        <is>
          <t>CAD Layer</t>
        </is>
      </c>
      <c r="D3" s="7" t="inlineStr">
        <is>
          <t>Stroke Color</t>
        </is>
      </c>
      <c r="E3" s="7" t="inlineStr">
        <is>
          <t>Cut Length (mm)</t>
        </is>
      </c>
      <c r="F3" s="7" t="inlineStr">
        <is>
          <t>Cut Width (mm)</t>
        </is>
      </c>
      <c r="G3" s="7" t="inlineStr">
        <is>
          <t>Gross Area (m²)</t>
        </is>
      </c>
      <c r="H3" s="7" t="inlineStr">
        <is>
          <t>Cutout Area (m²)</t>
        </is>
      </c>
      <c r="I3" s="7" t="inlineStr">
        <is>
          <t>Net Area (m²)</t>
        </is>
      </c>
      <c r="J3" s="7" t="inlineStr">
        <is>
          <t>Perimeter (mm)</t>
        </is>
      </c>
      <c r="K3" s="7" t="inlineStr">
        <is>
          <t>Cutouts Count</t>
        </is>
      </c>
      <c r="L3" s="7" t="inlineStr">
        <is>
          <t>Centroid X</t>
        </is>
      </c>
      <c r="M3" s="7" t="inlineStr">
        <is>
          <t>Centroid Y</t>
        </is>
      </c>
    </row>
    <row r="4">
      <c r="A4" s="8" t="inlineStr">
        <is>
          <t>AP-001</t>
        </is>
      </c>
      <c r="B4" s="21" t="inlineStr">
        <is>
          <t>Ceiling Cloud / Large Panel</t>
        </is>
      </c>
      <c r="C4" s="21" t="inlineStr">
        <is>
          <t>Default</t>
        </is>
      </c>
      <c r="D4" s="21" t="inlineStr">
        <is>
          <t>#333333</t>
        </is>
      </c>
      <c r="E4" s="11" t="n">
        <v>4850.7</v>
      </c>
      <c r="F4" s="11" t="n">
        <v>1499.3</v>
      </c>
      <c r="G4" s="22" t="n">
        <v>7.2727</v>
      </c>
      <c r="H4" s="22" t="n">
        <v>0</v>
      </c>
      <c r="I4" s="22" t="n">
        <v>7.2727</v>
      </c>
      <c r="J4" s="11" t="n">
        <v>12700</v>
      </c>
      <c r="K4" s="23" t="n">
        <v>0</v>
      </c>
      <c r="L4" s="11" t="n">
        <v>11950.3</v>
      </c>
      <c r="M4" s="11" t="n">
        <v>9216.299999999999</v>
      </c>
    </row>
    <row r="5">
      <c r="A5" s="13" t="inlineStr">
        <is>
          <t>AP-002</t>
        </is>
      </c>
      <c r="B5" s="24" t="inlineStr">
        <is>
          <t>Acoustic Baffle / Slat</t>
        </is>
      </c>
      <c r="C5" s="24" t="inlineStr">
        <is>
          <t>Default</t>
        </is>
      </c>
      <c r="D5" s="24" t="inlineStr">
        <is>
          <t>#000000</t>
        </is>
      </c>
      <c r="E5" s="16" t="n">
        <v>1000.1</v>
      </c>
      <c r="F5" s="16" t="n">
        <v>105.8</v>
      </c>
      <c r="G5" s="25" t="n">
        <v>0.1058</v>
      </c>
      <c r="H5" s="25" t="n">
        <v>0</v>
      </c>
      <c r="I5" s="25" t="n">
        <v>0.1058</v>
      </c>
      <c r="J5" s="16" t="n">
        <v>2211.92</v>
      </c>
      <c r="K5" s="26" t="n">
        <v>0</v>
      </c>
      <c r="L5" s="16" t="n">
        <v>6673.7</v>
      </c>
      <c r="M5" s="16" t="n">
        <v>9577.9</v>
      </c>
    </row>
    <row r="6">
      <c r="A6" s="8" t="inlineStr">
        <is>
          <t>AP-003</t>
        </is>
      </c>
      <c r="B6" s="21" t="inlineStr">
        <is>
          <t>Acoustic Baffle / Slat</t>
        </is>
      </c>
      <c r="C6" s="21" t="inlineStr">
        <is>
          <t>Default</t>
        </is>
      </c>
      <c r="D6" s="21" t="inlineStr">
        <is>
          <t>#000000</t>
        </is>
      </c>
      <c r="E6" s="11" t="n">
        <v>1000.1</v>
      </c>
      <c r="F6" s="11" t="n">
        <v>105.8</v>
      </c>
      <c r="G6" s="22" t="n">
        <v>0.1058</v>
      </c>
      <c r="H6" s="22" t="n">
        <v>0</v>
      </c>
      <c r="I6" s="22" t="n">
        <v>0.1058</v>
      </c>
      <c r="J6" s="11" t="n">
        <v>2211.92</v>
      </c>
      <c r="K6" s="23" t="n">
        <v>0</v>
      </c>
      <c r="L6" s="11" t="n">
        <v>7673.8</v>
      </c>
      <c r="M6" s="11" t="n">
        <v>9577.9</v>
      </c>
    </row>
    <row r="7">
      <c r="A7" s="13" t="inlineStr">
        <is>
          <t>AP-004</t>
        </is>
      </c>
      <c r="B7" s="24" t="inlineStr">
        <is>
          <t>Acoustic Baffle / Slat</t>
        </is>
      </c>
      <c r="C7" s="24" t="inlineStr">
        <is>
          <t>Default</t>
        </is>
      </c>
      <c r="D7" s="24" t="inlineStr">
        <is>
          <t>#000000</t>
        </is>
      </c>
      <c r="E7" s="16" t="n">
        <v>1000.1</v>
      </c>
      <c r="F7" s="16" t="n">
        <v>105.8</v>
      </c>
      <c r="G7" s="25" t="n">
        <v>0.1058</v>
      </c>
      <c r="H7" s="25" t="n">
        <v>0</v>
      </c>
      <c r="I7" s="25" t="n">
        <v>0.1058</v>
      </c>
      <c r="J7" s="16" t="n">
        <v>2211.92</v>
      </c>
      <c r="K7" s="26" t="n">
        <v>0</v>
      </c>
      <c r="L7" s="16" t="n">
        <v>8673.9</v>
      </c>
      <c r="M7" s="16" t="n">
        <v>9577.9</v>
      </c>
    </row>
    <row r="8">
      <c r="A8" s="8" t="inlineStr">
        <is>
          <t>AP-005</t>
        </is>
      </c>
      <c r="B8" s="21" t="inlineStr">
        <is>
          <t>Ceiling Cloud / Large Panel</t>
        </is>
      </c>
      <c r="C8" s="21" t="inlineStr">
        <is>
          <t>Default</t>
        </is>
      </c>
      <c r="D8" s="21" t="inlineStr">
        <is>
          <t>#666666</t>
        </is>
      </c>
      <c r="E8" s="11" t="n">
        <v>4409.7</v>
      </c>
      <c r="F8" s="11" t="n">
        <v>1499.3</v>
      </c>
      <c r="G8" s="22" t="n">
        <v>6.6115</v>
      </c>
      <c r="H8" s="22" t="n">
        <v>0</v>
      </c>
      <c r="I8" s="22" t="n">
        <v>6.6115</v>
      </c>
      <c r="J8" s="11" t="n">
        <v>11818.06</v>
      </c>
      <c r="K8" s="23" t="n">
        <v>0</v>
      </c>
      <c r="L8" s="11" t="n">
        <v>2734</v>
      </c>
      <c r="M8" s="11" t="n">
        <v>9216.299999999999</v>
      </c>
    </row>
    <row r="9">
      <c r="A9" s="13" t="inlineStr">
        <is>
          <t>AP-006</t>
        </is>
      </c>
      <c r="B9" s="24" t="inlineStr">
        <is>
          <t>Ceiling Cloud / Large Panel</t>
        </is>
      </c>
      <c r="C9" s="24" t="inlineStr">
        <is>
          <t>Default</t>
        </is>
      </c>
      <c r="D9" s="24" t="inlineStr">
        <is>
          <t>#1A1A1A</t>
        </is>
      </c>
      <c r="E9" s="16" t="n">
        <v>7055.6</v>
      </c>
      <c r="F9" s="16" t="n">
        <v>6173.6</v>
      </c>
      <c r="G9" s="25" t="n">
        <v>43.5583</v>
      </c>
      <c r="H9" s="25" t="n">
        <v>0</v>
      </c>
      <c r="I9" s="25" t="n">
        <v>43.5583</v>
      </c>
      <c r="J9" s="16" t="n">
        <v>26458.33</v>
      </c>
      <c r="K9" s="26" t="n">
        <v>0</v>
      </c>
      <c r="L9" s="16" t="n">
        <v>3968.7</v>
      </c>
      <c r="M9" s="16" t="n">
        <v>4409.7</v>
      </c>
    </row>
    <row r="10">
      <c r="A10" s="8" t="inlineStr">
        <is>
          <t>AP-007</t>
        </is>
      </c>
      <c r="B10" s="21" t="inlineStr">
        <is>
          <t>Standard Wall Panel</t>
        </is>
      </c>
      <c r="C10" s="21" t="inlineStr">
        <is>
          <t>Default</t>
        </is>
      </c>
      <c r="D10" s="21" t="inlineStr">
        <is>
          <t>#0078D9</t>
        </is>
      </c>
      <c r="E10" s="11" t="n">
        <v>1234.7</v>
      </c>
      <c r="F10" s="11" t="n">
        <v>793.8</v>
      </c>
      <c r="G10" s="22" t="n">
        <v>0.9801</v>
      </c>
      <c r="H10" s="22" t="n">
        <v>0</v>
      </c>
      <c r="I10" s="22" t="n">
        <v>0.9801</v>
      </c>
      <c r="J10" s="11" t="n">
        <v>4056.94</v>
      </c>
      <c r="K10" s="23" t="n">
        <v>0</v>
      </c>
      <c r="L10" s="11" t="n">
        <v>1852.1</v>
      </c>
      <c r="M10" s="11" t="n">
        <v>1367</v>
      </c>
    </row>
    <row r="11">
      <c r="A11" s="13" t="inlineStr">
        <is>
          <t>AP-008</t>
        </is>
      </c>
      <c r="B11" s="24" t="inlineStr">
        <is>
          <t>Standard Wall Panel</t>
        </is>
      </c>
      <c r="C11" s="24" t="inlineStr">
        <is>
          <t>Default</t>
        </is>
      </c>
      <c r="D11" s="24" t="inlineStr">
        <is>
          <t>#0078D9</t>
        </is>
      </c>
      <c r="E11" s="16" t="n">
        <v>1234.7</v>
      </c>
      <c r="F11" s="16" t="n">
        <v>793.8</v>
      </c>
      <c r="G11" s="25" t="n">
        <v>0.9801</v>
      </c>
      <c r="H11" s="25" t="n">
        <v>0</v>
      </c>
      <c r="I11" s="25" t="n">
        <v>0.9801</v>
      </c>
      <c r="J11" s="16" t="n">
        <v>4056.94</v>
      </c>
      <c r="K11" s="26" t="n">
        <v>0</v>
      </c>
      <c r="L11" s="16" t="n">
        <v>3175</v>
      </c>
      <c r="M11" s="16" t="n">
        <v>1367</v>
      </c>
    </row>
    <row r="12">
      <c r="A12" s="8" t="inlineStr">
        <is>
          <t>AP-009</t>
        </is>
      </c>
      <c r="B12" s="21" t="inlineStr">
        <is>
          <t>Standard Wall Panel</t>
        </is>
      </c>
      <c r="C12" s="21" t="inlineStr">
        <is>
          <t>Default</t>
        </is>
      </c>
      <c r="D12" s="21" t="inlineStr">
        <is>
          <t>#0078D9</t>
        </is>
      </c>
      <c r="E12" s="11" t="n">
        <v>1234.7</v>
      </c>
      <c r="F12" s="11" t="n">
        <v>793.8</v>
      </c>
      <c r="G12" s="22" t="n">
        <v>0.9801</v>
      </c>
      <c r="H12" s="22" t="n">
        <v>0</v>
      </c>
      <c r="I12" s="22" t="n">
        <v>0.9801</v>
      </c>
      <c r="J12" s="11" t="n">
        <v>4056.94</v>
      </c>
      <c r="K12" s="23" t="n">
        <v>0</v>
      </c>
      <c r="L12" s="11" t="n">
        <v>4497.9</v>
      </c>
      <c r="M12" s="11" t="n">
        <v>1367</v>
      </c>
    </row>
    <row r="13">
      <c r="A13" s="13" t="inlineStr">
        <is>
          <t>AP-010</t>
        </is>
      </c>
      <c r="B13" s="24" t="inlineStr">
        <is>
          <t>Standard Wall Panel</t>
        </is>
      </c>
      <c r="C13" s="24" t="inlineStr">
        <is>
          <t>Default</t>
        </is>
      </c>
      <c r="D13" s="24" t="inlineStr">
        <is>
          <t>#0078D9</t>
        </is>
      </c>
      <c r="E13" s="16" t="n">
        <v>1234.7</v>
      </c>
      <c r="F13" s="16" t="n">
        <v>793.8</v>
      </c>
      <c r="G13" s="25" t="n">
        <v>0.9801</v>
      </c>
      <c r="H13" s="25" t="n">
        <v>0</v>
      </c>
      <c r="I13" s="25" t="n">
        <v>0.9801</v>
      </c>
      <c r="J13" s="16" t="n">
        <v>4056.94</v>
      </c>
      <c r="K13" s="26" t="n">
        <v>0</v>
      </c>
      <c r="L13" s="16" t="n">
        <v>5820.8</v>
      </c>
      <c r="M13" s="16" t="n">
        <v>1367</v>
      </c>
    </row>
    <row r="14">
      <c r="A14" s="8" t="inlineStr">
        <is>
          <t>AP-011</t>
        </is>
      </c>
      <c r="B14" s="21" t="inlineStr">
        <is>
          <t>Standard Wall Panel</t>
        </is>
      </c>
      <c r="C14" s="21" t="inlineStr">
        <is>
          <t>Default</t>
        </is>
      </c>
      <c r="D14" s="21" t="inlineStr">
        <is>
          <t>#0078D9</t>
        </is>
      </c>
      <c r="E14" s="11" t="n">
        <v>1499.3</v>
      </c>
      <c r="F14" s="11" t="n">
        <v>881.9</v>
      </c>
      <c r="G14" s="22" t="n">
        <v>1.3223</v>
      </c>
      <c r="H14" s="22" t="n">
        <v>0</v>
      </c>
      <c r="I14" s="22" t="n">
        <v>1.3223</v>
      </c>
      <c r="J14" s="11" t="n">
        <v>4762.5</v>
      </c>
      <c r="K14" s="23" t="n">
        <v>0</v>
      </c>
      <c r="L14" s="11" t="n">
        <v>1411.1</v>
      </c>
      <c r="M14" s="11" t="n">
        <v>2866.3</v>
      </c>
    </row>
    <row r="15">
      <c r="A15" s="13" t="inlineStr">
        <is>
          <t>AP-012</t>
        </is>
      </c>
      <c r="B15" s="24" t="inlineStr">
        <is>
          <t>Standard Wall Panel</t>
        </is>
      </c>
      <c r="C15" s="24" t="inlineStr">
        <is>
          <t>Default</t>
        </is>
      </c>
      <c r="D15" s="24" t="inlineStr">
        <is>
          <t>#0078D9</t>
        </is>
      </c>
      <c r="E15" s="16" t="n">
        <v>1499.3</v>
      </c>
      <c r="F15" s="16" t="n">
        <v>881.9</v>
      </c>
      <c r="G15" s="25" t="n">
        <v>1.3223</v>
      </c>
      <c r="H15" s="25" t="n">
        <v>0</v>
      </c>
      <c r="I15" s="25" t="n">
        <v>1.3223</v>
      </c>
      <c r="J15" s="16" t="n">
        <v>4762.5</v>
      </c>
      <c r="K15" s="26" t="n">
        <v>0</v>
      </c>
      <c r="L15" s="16" t="n">
        <v>1411.1</v>
      </c>
      <c r="M15" s="16" t="n">
        <v>4542</v>
      </c>
    </row>
    <row r="16">
      <c r="A16" s="8" t="inlineStr">
        <is>
          <t>AP-013</t>
        </is>
      </c>
      <c r="B16" s="21" t="inlineStr">
        <is>
          <t>Standard Wall Panel</t>
        </is>
      </c>
      <c r="C16" s="21" t="inlineStr">
        <is>
          <t>Default</t>
        </is>
      </c>
      <c r="D16" s="21" t="inlineStr">
        <is>
          <t>#0078D9</t>
        </is>
      </c>
      <c r="E16" s="11" t="n">
        <v>1499.3</v>
      </c>
      <c r="F16" s="11" t="n">
        <v>881.9</v>
      </c>
      <c r="G16" s="22" t="n">
        <v>1.3223</v>
      </c>
      <c r="H16" s="22" t="n">
        <v>0</v>
      </c>
      <c r="I16" s="22" t="n">
        <v>1.3223</v>
      </c>
      <c r="J16" s="11" t="n">
        <v>4762.5</v>
      </c>
      <c r="K16" s="23" t="n">
        <v>0</v>
      </c>
      <c r="L16" s="11" t="n">
        <v>1411.1</v>
      </c>
      <c r="M16" s="11" t="n">
        <v>6217.7</v>
      </c>
    </row>
    <row r="17">
      <c r="A17" s="13" t="inlineStr">
        <is>
          <t>AP-014</t>
        </is>
      </c>
      <c r="B17" s="24" t="inlineStr">
        <is>
          <t>Ceiling Cloud / Large Panel</t>
        </is>
      </c>
      <c r="C17" s="24" t="inlineStr">
        <is>
          <t>Default</t>
        </is>
      </c>
      <c r="D17" s="24" t="inlineStr">
        <is>
          <t>#0078D9</t>
        </is>
      </c>
      <c r="E17" s="16" t="n">
        <v>2293.1</v>
      </c>
      <c r="F17" s="16" t="n">
        <v>705.6</v>
      </c>
      <c r="G17" s="25" t="n">
        <v>1.6179</v>
      </c>
      <c r="H17" s="25" t="n">
        <v>0</v>
      </c>
      <c r="I17" s="25" t="n">
        <v>1.6179</v>
      </c>
      <c r="J17" s="16" t="n">
        <v>5997.22</v>
      </c>
      <c r="K17" s="26" t="n">
        <v>0</v>
      </c>
      <c r="L17" s="16" t="n">
        <v>2381.2</v>
      </c>
      <c r="M17" s="16" t="n">
        <v>7496.5</v>
      </c>
    </row>
    <row r="18">
      <c r="A18" s="8" t="inlineStr">
        <is>
          <t>AP-015</t>
        </is>
      </c>
      <c r="B18" s="21" t="inlineStr">
        <is>
          <t>Standard Wall Panel</t>
        </is>
      </c>
      <c r="C18" s="21" t="inlineStr">
        <is>
          <t>Default</t>
        </is>
      </c>
      <c r="D18" s="21" t="inlineStr">
        <is>
          <t>#D92626</t>
        </is>
      </c>
      <c r="E18" s="11" t="n">
        <v>881.9</v>
      </c>
      <c r="F18" s="11" t="n">
        <v>705.6</v>
      </c>
      <c r="G18" s="22" t="n">
        <v>0.6223</v>
      </c>
      <c r="H18" s="22" t="n">
        <v>0</v>
      </c>
      <c r="I18" s="22" t="n">
        <v>0.6223</v>
      </c>
      <c r="J18" s="11" t="n">
        <v>3175</v>
      </c>
      <c r="K18" s="23" t="n">
        <v>0</v>
      </c>
      <c r="L18" s="11" t="n">
        <v>4056.9</v>
      </c>
      <c r="M18" s="11" t="n">
        <v>7496.5</v>
      </c>
    </row>
    <row r="19">
      <c r="A19" s="13" t="inlineStr">
        <is>
          <t>AP-016</t>
        </is>
      </c>
      <c r="B19" s="24" t="inlineStr">
        <is>
          <t>Ceiling Cloud / Large Panel</t>
        </is>
      </c>
      <c r="C19" s="24" t="inlineStr">
        <is>
          <t>Default</t>
        </is>
      </c>
      <c r="D19" s="24" t="inlineStr">
        <is>
          <t>#0078D9</t>
        </is>
      </c>
      <c r="E19" s="16" t="n">
        <v>2116.7</v>
      </c>
      <c r="F19" s="16" t="n">
        <v>705.6</v>
      </c>
      <c r="G19" s="25" t="n">
        <v>1.4934</v>
      </c>
      <c r="H19" s="25" t="n">
        <v>0</v>
      </c>
      <c r="I19" s="25" t="n">
        <v>1.4934</v>
      </c>
      <c r="J19" s="16" t="n">
        <v>5644.44</v>
      </c>
      <c r="K19" s="26" t="n">
        <v>0</v>
      </c>
      <c r="L19" s="16" t="n">
        <v>5644.4</v>
      </c>
      <c r="M19" s="16" t="n">
        <v>7496.5</v>
      </c>
    </row>
    <row r="20">
      <c r="A20" s="8" t="inlineStr">
        <is>
          <t>AP-017</t>
        </is>
      </c>
      <c r="B20" s="21" t="inlineStr">
        <is>
          <t>Ceiling Cloud / Large Panel</t>
        </is>
      </c>
      <c r="C20" s="21" t="inlineStr">
        <is>
          <t>Default</t>
        </is>
      </c>
      <c r="D20" s="21" t="inlineStr">
        <is>
          <t>#D9801A</t>
        </is>
      </c>
      <c r="E20" s="11" t="n">
        <v>3880.6</v>
      </c>
      <c r="F20" s="11" t="n">
        <v>1587.5</v>
      </c>
      <c r="G20" s="22" t="n">
        <v>6.1604</v>
      </c>
      <c r="H20" s="22" t="n">
        <v>0</v>
      </c>
      <c r="I20" s="22" t="n">
        <v>6.1604</v>
      </c>
      <c r="J20" s="11" t="n">
        <v>10936.11</v>
      </c>
      <c r="K20" s="23" t="n">
        <v>0</v>
      </c>
      <c r="L20" s="11" t="n">
        <v>4409.7</v>
      </c>
      <c r="M20" s="11" t="n">
        <v>3263.2</v>
      </c>
    </row>
    <row r="21">
      <c r="A21" s="13" t="inlineStr">
        <is>
          <t>AP-018</t>
        </is>
      </c>
      <c r="B21" s="24" t="inlineStr">
        <is>
          <t>Ceiling Cloud / Large Panel</t>
        </is>
      </c>
      <c r="C21" s="24" t="inlineStr">
        <is>
          <t>Default</t>
        </is>
      </c>
      <c r="D21" s="24" t="inlineStr">
        <is>
          <t>#D9801A</t>
        </is>
      </c>
      <c r="E21" s="16" t="n">
        <v>3880.6</v>
      </c>
      <c r="F21" s="16" t="n">
        <v>1940.3</v>
      </c>
      <c r="G21" s="25" t="n">
        <v>7.5294</v>
      </c>
      <c r="H21" s="25" t="n">
        <v>0</v>
      </c>
      <c r="I21" s="25" t="n">
        <v>7.5294</v>
      </c>
      <c r="J21" s="16" t="n">
        <v>11641.67</v>
      </c>
      <c r="K21" s="26" t="n">
        <v>0</v>
      </c>
      <c r="L21" s="16" t="n">
        <v>4409.7</v>
      </c>
      <c r="M21" s="16" t="n">
        <v>5379.9</v>
      </c>
    </row>
    <row r="22">
      <c r="A22" s="8" t="inlineStr">
        <is>
          <t>AP-019</t>
        </is>
      </c>
      <c r="B22" s="21" t="inlineStr">
        <is>
          <t>Standard Wall Panel</t>
        </is>
      </c>
      <c r="C22" s="21" t="inlineStr">
        <is>
          <t>Default</t>
        </is>
      </c>
      <c r="D22" s="21" t="inlineStr">
        <is>
          <t>#D92626</t>
        </is>
      </c>
      <c r="E22" s="11" t="n">
        <v>1058.3</v>
      </c>
      <c r="F22" s="11" t="n">
        <v>529.2</v>
      </c>
      <c r="G22" s="22" t="n">
        <v>0.5600000000000001</v>
      </c>
      <c r="H22" s="22" t="n">
        <v>0</v>
      </c>
      <c r="I22" s="22" t="n">
        <v>0.5600000000000001</v>
      </c>
      <c r="J22" s="11" t="n">
        <v>3175</v>
      </c>
      <c r="K22" s="23" t="n">
        <v>0</v>
      </c>
      <c r="L22" s="11" t="n">
        <v>4409.7</v>
      </c>
      <c r="M22" s="11" t="n">
        <v>5379.9</v>
      </c>
    </row>
    <row r="23">
      <c r="A23" s="13" t="inlineStr">
        <is>
          <t>AP-020</t>
        </is>
      </c>
      <c r="B23" s="24" t="inlineStr">
        <is>
          <t>Ceiling Cloud / Large Panel</t>
        </is>
      </c>
      <c r="C23" s="24" t="inlineStr">
        <is>
          <t>Default</t>
        </is>
      </c>
      <c r="D23" s="24" t="inlineStr">
        <is>
          <t>#1A1A1A</t>
        </is>
      </c>
      <c r="E23" s="16" t="n">
        <v>7055.6</v>
      </c>
      <c r="F23" s="16" t="n">
        <v>6173.6</v>
      </c>
      <c r="G23" s="25" t="n">
        <v>43.5583</v>
      </c>
      <c r="H23" s="25" t="n">
        <v>0</v>
      </c>
      <c r="I23" s="25" t="n">
        <v>43.5583</v>
      </c>
      <c r="J23" s="16" t="n">
        <v>26458.33</v>
      </c>
      <c r="K23" s="26" t="n">
        <v>0</v>
      </c>
      <c r="L23" s="16" t="n">
        <v>10847.9</v>
      </c>
      <c r="M23" s="16" t="n">
        <v>4409.7</v>
      </c>
    </row>
    <row r="24">
      <c r="A24" s="8" t="inlineStr">
        <is>
          <t>AP-021</t>
        </is>
      </c>
      <c r="B24" s="21" t="inlineStr">
        <is>
          <t>Standard Wall Panel</t>
        </is>
      </c>
      <c r="C24" s="21" t="inlineStr">
        <is>
          <t>Default</t>
        </is>
      </c>
      <c r="D24" s="21" t="inlineStr">
        <is>
          <t>#0078D9</t>
        </is>
      </c>
      <c r="E24" s="11" t="n">
        <v>970.1</v>
      </c>
      <c r="F24" s="11" t="n">
        <v>970.1</v>
      </c>
      <c r="G24" s="22" t="n">
        <v>0.9412</v>
      </c>
      <c r="H24" s="22" t="n">
        <v>0</v>
      </c>
      <c r="I24" s="22" t="n">
        <v>0.9412</v>
      </c>
      <c r="J24" s="11" t="n">
        <v>3880.56</v>
      </c>
      <c r="K24" s="23" t="n">
        <v>0</v>
      </c>
      <c r="L24" s="11" t="n">
        <v>13361.5</v>
      </c>
      <c r="M24" s="11" t="n">
        <v>2425.3</v>
      </c>
    </row>
    <row r="25">
      <c r="A25" s="13" t="inlineStr">
        <is>
          <t>AP-022</t>
        </is>
      </c>
      <c r="B25" s="24" t="inlineStr">
        <is>
          <t>Standard Wall Panel</t>
        </is>
      </c>
      <c r="C25" s="24" t="inlineStr">
        <is>
          <t>Default</t>
        </is>
      </c>
      <c r="D25" s="24" t="inlineStr">
        <is>
          <t>#0078D9</t>
        </is>
      </c>
      <c r="E25" s="16" t="n">
        <v>970.1</v>
      </c>
      <c r="F25" s="16" t="n">
        <v>970.1</v>
      </c>
      <c r="G25" s="25" t="n">
        <v>0.9412</v>
      </c>
      <c r="H25" s="25" t="n">
        <v>0</v>
      </c>
      <c r="I25" s="25" t="n">
        <v>0.9412</v>
      </c>
      <c r="J25" s="16" t="n">
        <v>3880.56</v>
      </c>
      <c r="K25" s="26" t="n">
        <v>0</v>
      </c>
      <c r="L25" s="16" t="n">
        <v>13361.5</v>
      </c>
      <c r="M25" s="16" t="n">
        <v>3519</v>
      </c>
    </row>
    <row r="26">
      <c r="A26" s="8" t="inlineStr">
        <is>
          <t>AP-023</t>
        </is>
      </c>
      <c r="B26" s="21" t="inlineStr">
        <is>
          <t>Standard Wall Panel</t>
        </is>
      </c>
      <c r="C26" s="21" t="inlineStr">
        <is>
          <t>Default</t>
        </is>
      </c>
      <c r="D26" s="21" t="inlineStr">
        <is>
          <t>#0078D9</t>
        </is>
      </c>
      <c r="E26" s="11" t="n">
        <v>970.1</v>
      </c>
      <c r="F26" s="11" t="n">
        <v>970.1</v>
      </c>
      <c r="G26" s="22" t="n">
        <v>0.9412</v>
      </c>
      <c r="H26" s="22" t="n">
        <v>0</v>
      </c>
      <c r="I26" s="22" t="n">
        <v>0.9412</v>
      </c>
      <c r="J26" s="11" t="n">
        <v>3880.56</v>
      </c>
      <c r="K26" s="23" t="n">
        <v>0</v>
      </c>
      <c r="L26" s="11" t="n">
        <v>13361.5</v>
      </c>
      <c r="M26" s="11" t="n">
        <v>4612.6</v>
      </c>
    </row>
    <row r="27">
      <c r="A27" s="13" t="inlineStr">
        <is>
          <t>AP-024</t>
        </is>
      </c>
      <c r="B27" s="24" t="inlineStr">
        <is>
          <t>Standard Wall Panel</t>
        </is>
      </c>
      <c r="C27" s="24" t="inlineStr">
        <is>
          <t>Default</t>
        </is>
      </c>
      <c r="D27" s="24" t="inlineStr">
        <is>
          <t>#0078D9</t>
        </is>
      </c>
      <c r="E27" s="16" t="n">
        <v>970.1</v>
      </c>
      <c r="F27" s="16" t="n">
        <v>970.1</v>
      </c>
      <c r="G27" s="25" t="n">
        <v>0.9412</v>
      </c>
      <c r="H27" s="25" t="n">
        <v>0</v>
      </c>
      <c r="I27" s="25" t="n">
        <v>0.9412</v>
      </c>
      <c r="J27" s="16" t="n">
        <v>3880.56</v>
      </c>
      <c r="K27" s="26" t="n">
        <v>0</v>
      </c>
      <c r="L27" s="16" t="n">
        <v>13361.5</v>
      </c>
      <c r="M27" s="16" t="n">
        <v>5706.2</v>
      </c>
    </row>
    <row r="28">
      <c r="A28" s="8" t="inlineStr">
        <is>
          <t>AP-025</t>
        </is>
      </c>
      <c r="B28" s="21" t="inlineStr">
        <is>
          <t>Standard Wall Panel</t>
        </is>
      </c>
      <c r="C28" s="21" t="inlineStr">
        <is>
          <t>Default</t>
        </is>
      </c>
      <c r="D28" s="21" t="inlineStr">
        <is>
          <t>#0078D9</t>
        </is>
      </c>
      <c r="E28" s="11" t="n">
        <v>970.1</v>
      </c>
      <c r="F28" s="11" t="n">
        <v>970.1</v>
      </c>
      <c r="G28" s="22" t="n">
        <v>0.9412</v>
      </c>
      <c r="H28" s="22" t="n">
        <v>0</v>
      </c>
      <c r="I28" s="22" t="n">
        <v>0.9412</v>
      </c>
      <c r="J28" s="11" t="n">
        <v>3880.56</v>
      </c>
      <c r="K28" s="23" t="n">
        <v>0</v>
      </c>
      <c r="L28" s="11" t="n">
        <v>13361.5</v>
      </c>
      <c r="M28" s="11" t="n">
        <v>6799.8</v>
      </c>
    </row>
    <row r="29">
      <c r="A29" s="13" t="inlineStr">
        <is>
          <t>AP-026</t>
        </is>
      </c>
      <c r="B29" s="24" t="inlineStr">
        <is>
          <t>Standard Wall Panel</t>
        </is>
      </c>
      <c r="C29" s="24" t="inlineStr">
        <is>
          <t>Default</t>
        </is>
      </c>
      <c r="D29" s="24" t="inlineStr">
        <is>
          <t>#D9801A</t>
        </is>
      </c>
      <c r="E29" s="16" t="n">
        <v>1058.3</v>
      </c>
      <c r="F29" s="16" t="n">
        <v>793.8</v>
      </c>
      <c r="G29" s="25" t="n">
        <v>0.8401</v>
      </c>
      <c r="H29" s="25" t="n">
        <v>0</v>
      </c>
      <c r="I29" s="25" t="n">
        <v>0.8401</v>
      </c>
      <c r="J29" s="16" t="n">
        <v>3704.17</v>
      </c>
      <c r="K29" s="26" t="n">
        <v>0</v>
      </c>
      <c r="L29" s="16" t="n">
        <v>8907.6</v>
      </c>
      <c r="M29" s="16" t="n">
        <v>2689.9</v>
      </c>
    </row>
    <row r="30">
      <c r="A30" s="8" t="inlineStr">
        <is>
          <t>AP-027</t>
        </is>
      </c>
      <c r="B30" s="21" t="inlineStr">
        <is>
          <t>Standard Wall Panel</t>
        </is>
      </c>
      <c r="C30" s="21" t="inlineStr">
        <is>
          <t>Default</t>
        </is>
      </c>
      <c r="D30" s="21" t="inlineStr">
        <is>
          <t>#D9801A</t>
        </is>
      </c>
      <c r="E30" s="11" t="n">
        <v>1058.3</v>
      </c>
      <c r="F30" s="11" t="n">
        <v>793.8</v>
      </c>
      <c r="G30" s="22" t="n">
        <v>0.8401</v>
      </c>
      <c r="H30" s="22" t="n">
        <v>0</v>
      </c>
      <c r="I30" s="22" t="n">
        <v>0.8401</v>
      </c>
      <c r="J30" s="11" t="n">
        <v>3704.17</v>
      </c>
      <c r="K30" s="23" t="n">
        <v>0</v>
      </c>
      <c r="L30" s="11" t="n">
        <v>10230.6</v>
      </c>
      <c r="M30" s="11" t="n">
        <v>2689.9</v>
      </c>
    </row>
    <row r="31">
      <c r="A31" s="13" t="inlineStr">
        <is>
          <t>AP-028</t>
        </is>
      </c>
      <c r="B31" s="24" t="inlineStr">
        <is>
          <t>Standard Wall Panel</t>
        </is>
      </c>
      <c r="C31" s="24" t="inlineStr">
        <is>
          <t>Default</t>
        </is>
      </c>
      <c r="D31" s="24" t="inlineStr">
        <is>
          <t>#D9801A</t>
        </is>
      </c>
      <c r="E31" s="16" t="n">
        <v>1058.3</v>
      </c>
      <c r="F31" s="16" t="n">
        <v>793.8</v>
      </c>
      <c r="G31" s="25" t="n">
        <v>0.8401</v>
      </c>
      <c r="H31" s="25" t="n">
        <v>0</v>
      </c>
      <c r="I31" s="25" t="n">
        <v>0.8401</v>
      </c>
      <c r="J31" s="16" t="n">
        <v>3704.17</v>
      </c>
      <c r="K31" s="26" t="n">
        <v>0</v>
      </c>
      <c r="L31" s="16" t="n">
        <v>11553.5</v>
      </c>
      <c r="M31" s="16" t="n">
        <v>2689.9</v>
      </c>
    </row>
    <row r="32">
      <c r="A32" s="8" t="inlineStr">
        <is>
          <t>AP-029</t>
        </is>
      </c>
      <c r="B32" s="21" t="inlineStr">
        <is>
          <t>Standard Wall Panel</t>
        </is>
      </c>
      <c r="C32" s="21" t="inlineStr">
        <is>
          <t>Default</t>
        </is>
      </c>
      <c r="D32" s="21" t="inlineStr">
        <is>
          <t>#D9801A</t>
        </is>
      </c>
      <c r="E32" s="11" t="n">
        <v>1058.3</v>
      </c>
      <c r="F32" s="11" t="n">
        <v>793.7</v>
      </c>
      <c r="G32" s="22" t="n">
        <v>0.8401</v>
      </c>
      <c r="H32" s="22" t="n">
        <v>0</v>
      </c>
      <c r="I32" s="22" t="n">
        <v>0.8401</v>
      </c>
      <c r="J32" s="11" t="n">
        <v>3704.17</v>
      </c>
      <c r="K32" s="23" t="n">
        <v>0</v>
      </c>
      <c r="L32" s="11" t="n">
        <v>8907.6</v>
      </c>
      <c r="M32" s="11" t="n">
        <v>3836.5</v>
      </c>
    </row>
    <row r="33">
      <c r="A33" s="13" t="inlineStr">
        <is>
          <t>AP-030</t>
        </is>
      </c>
      <c r="B33" s="24" t="inlineStr">
        <is>
          <t>Standard Wall Panel</t>
        </is>
      </c>
      <c r="C33" s="24" t="inlineStr">
        <is>
          <t>Default</t>
        </is>
      </c>
      <c r="D33" s="24" t="inlineStr">
        <is>
          <t>#D9801A</t>
        </is>
      </c>
      <c r="E33" s="16" t="n">
        <v>1058.3</v>
      </c>
      <c r="F33" s="16" t="n">
        <v>793.7</v>
      </c>
      <c r="G33" s="25" t="n">
        <v>0.8401</v>
      </c>
      <c r="H33" s="25" t="n">
        <v>0</v>
      </c>
      <c r="I33" s="25" t="n">
        <v>0.8401</v>
      </c>
      <c r="J33" s="16" t="n">
        <v>3704.17</v>
      </c>
      <c r="K33" s="26" t="n">
        <v>0</v>
      </c>
      <c r="L33" s="16" t="n">
        <v>10230.6</v>
      </c>
      <c r="M33" s="16" t="n">
        <v>3836.5</v>
      </c>
    </row>
    <row r="34">
      <c r="A34" s="8" t="inlineStr">
        <is>
          <t>AP-031</t>
        </is>
      </c>
      <c r="B34" s="21" t="inlineStr">
        <is>
          <t>Standard Wall Panel</t>
        </is>
      </c>
      <c r="C34" s="21" t="inlineStr">
        <is>
          <t>Default</t>
        </is>
      </c>
      <c r="D34" s="21" t="inlineStr">
        <is>
          <t>#D9801A</t>
        </is>
      </c>
      <c r="E34" s="11" t="n">
        <v>1058.3</v>
      </c>
      <c r="F34" s="11" t="n">
        <v>793.7</v>
      </c>
      <c r="G34" s="22" t="n">
        <v>0.8401</v>
      </c>
      <c r="H34" s="22" t="n">
        <v>0</v>
      </c>
      <c r="I34" s="22" t="n">
        <v>0.8401</v>
      </c>
      <c r="J34" s="11" t="n">
        <v>3704.17</v>
      </c>
      <c r="K34" s="23" t="n">
        <v>0</v>
      </c>
      <c r="L34" s="11" t="n">
        <v>11553.5</v>
      </c>
      <c r="M34" s="11" t="n">
        <v>3836.5</v>
      </c>
    </row>
    <row r="35">
      <c r="A35" s="13" t="inlineStr">
        <is>
          <t>AP-032</t>
        </is>
      </c>
      <c r="B35" s="24" t="inlineStr">
        <is>
          <t>Standard Wall Panel</t>
        </is>
      </c>
      <c r="C35" s="24" t="inlineStr">
        <is>
          <t>Default</t>
        </is>
      </c>
      <c r="D35" s="24" t="inlineStr">
        <is>
          <t>#D9801A</t>
        </is>
      </c>
      <c r="E35" s="16" t="n">
        <v>1058.3</v>
      </c>
      <c r="F35" s="16" t="n">
        <v>793.8</v>
      </c>
      <c r="G35" s="25" t="n">
        <v>0.8401</v>
      </c>
      <c r="H35" s="25" t="n">
        <v>0</v>
      </c>
      <c r="I35" s="25" t="n">
        <v>0.8401</v>
      </c>
      <c r="J35" s="16" t="n">
        <v>3704.17</v>
      </c>
      <c r="K35" s="26" t="n">
        <v>0</v>
      </c>
      <c r="L35" s="16" t="n">
        <v>8907.6</v>
      </c>
      <c r="M35" s="16" t="n">
        <v>4983</v>
      </c>
    </row>
    <row r="36">
      <c r="A36" s="8" t="inlineStr">
        <is>
          <t>AP-033</t>
        </is>
      </c>
      <c r="B36" s="21" t="inlineStr">
        <is>
          <t>Standard Wall Panel</t>
        </is>
      </c>
      <c r="C36" s="21" t="inlineStr">
        <is>
          <t>Default</t>
        </is>
      </c>
      <c r="D36" s="21" t="inlineStr">
        <is>
          <t>#D9801A</t>
        </is>
      </c>
      <c r="E36" s="11" t="n">
        <v>1058.3</v>
      </c>
      <c r="F36" s="11" t="n">
        <v>793.8</v>
      </c>
      <c r="G36" s="22" t="n">
        <v>0.8401</v>
      </c>
      <c r="H36" s="22" t="n">
        <v>0</v>
      </c>
      <c r="I36" s="22" t="n">
        <v>0.8401</v>
      </c>
      <c r="J36" s="11" t="n">
        <v>3704.17</v>
      </c>
      <c r="K36" s="23" t="n">
        <v>0</v>
      </c>
      <c r="L36" s="11" t="n">
        <v>10230.6</v>
      </c>
      <c r="M36" s="11" t="n">
        <v>4983</v>
      </c>
    </row>
    <row r="37">
      <c r="A37" s="13" t="inlineStr">
        <is>
          <t>AP-034</t>
        </is>
      </c>
      <c r="B37" s="24" t="inlineStr">
        <is>
          <t>Standard Wall Panel</t>
        </is>
      </c>
      <c r="C37" s="24" t="inlineStr">
        <is>
          <t>Default</t>
        </is>
      </c>
      <c r="D37" s="24" t="inlineStr">
        <is>
          <t>#D9801A</t>
        </is>
      </c>
      <c r="E37" s="16" t="n">
        <v>1058.3</v>
      </c>
      <c r="F37" s="16" t="n">
        <v>793.8</v>
      </c>
      <c r="G37" s="25" t="n">
        <v>0.8401</v>
      </c>
      <c r="H37" s="25" t="n">
        <v>0</v>
      </c>
      <c r="I37" s="25" t="n">
        <v>0.8401</v>
      </c>
      <c r="J37" s="16" t="n">
        <v>3704.17</v>
      </c>
      <c r="K37" s="26" t="n">
        <v>0</v>
      </c>
      <c r="L37" s="16" t="n">
        <v>11553.5</v>
      </c>
      <c r="M37" s="16" t="n">
        <v>4983</v>
      </c>
    </row>
    <row r="38">
      <c r="A38" s="8" t="inlineStr">
        <is>
          <t>AP-035</t>
        </is>
      </c>
      <c r="B38" s="21" t="inlineStr">
        <is>
          <t>Standard Wall Panel</t>
        </is>
      </c>
      <c r="C38" s="21" t="inlineStr">
        <is>
          <t>Default</t>
        </is>
      </c>
      <c r="D38" s="21" t="inlineStr">
        <is>
          <t>#D9801A</t>
        </is>
      </c>
      <c r="E38" s="11" t="n">
        <v>1058.3</v>
      </c>
      <c r="F38" s="11" t="n">
        <v>793.8</v>
      </c>
      <c r="G38" s="22" t="n">
        <v>0.8401</v>
      </c>
      <c r="H38" s="22" t="n">
        <v>0</v>
      </c>
      <c r="I38" s="22" t="n">
        <v>0.8401</v>
      </c>
      <c r="J38" s="11" t="n">
        <v>3704.17</v>
      </c>
      <c r="K38" s="23" t="n">
        <v>0</v>
      </c>
      <c r="L38" s="11" t="n">
        <v>8907.6</v>
      </c>
      <c r="M38" s="11" t="n">
        <v>6129.5</v>
      </c>
    </row>
    <row r="39">
      <c r="A39" s="13" t="inlineStr">
        <is>
          <t>AP-036</t>
        </is>
      </c>
      <c r="B39" s="24" t="inlineStr">
        <is>
          <t>Standard Wall Panel</t>
        </is>
      </c>
      <c r="C39" s="24" t="inlineStr">
        <is>
          <t>Default</t>
        </is>
      </c>
      <c r="D39" s="24" t="inlineStr">
        <is>
          <t>#D9801A</t>
        </is>
      </c>
      <c r="E39" s="16" t="n">
        <v>1058.3</v>
      </c>
      <c r="F39" s="16" t="n">
        <v>793.8</v>
      </c>
      <c r="G39" s="25" t="n">
        <v>0.8401</v>
      </c>
      <c r="H39" s="25" t="n">
        <v>0</v>
      </c>
      <c r="I39" s="25" t="n">
        <v>0.8401</v>
      </c>
      <c r="J39" s="16" t="n">
        <v>3704.17</v>
      </c>
      <c r="K39" s="26" t="n">
        <v>0</v>
      </c>
      <c r="L39" s="16" t="n">
        <v>10230.6</v>
      </c>
      <c r="M39" s="16" t="n">
        <v>6129.5</v>
      </c>
    </row>
    <row r="40">
      <c r="A40" s="8" t="inlineStr">
        <is>
          <t>AP-037</t>
        </is>
      </c>
      <c r="B40" s="21" t="inlineStr">
        <is>
          <t>Standard Wall Panel</t>
        </is>
      </c>
      <c r="C40" s="21" t="inlineStr">
        <is>
          <t>Default</t>
        </is>
      </c>
      <c r="D40" s="21" t="inlineStr">
        <is>
          <t>#D9801A</t>
        </is>
      </c>
      <c r="E40" s="11" t="n">
        <v>1058.3</v>
      </c>
      <c r="F40" s="11" t="n">
        <v>793.8</v>
      </c>
      <c r="G40" s="22" t="n">
        <v>0.8401</v>
      </c>
      <c r="H40" s="22" t="n">
        <v>0</v>
      </c>
      <c r="I40" s="22" t="n">
        <v>0.8401</v>
      </c>
      <c r="J40" s="11" t="n">
        <v>3704.17</v>
      </c>
      <c r="K40" s="23" t="n">
        <v>0</v>
      </c>
      <c r="L40" s="11" t="n">
        <v>11553.5</v>
      </c>
      <c r="M40" s="11" t="n">
        <v>6129.5</v>
      </c>
    </row>
    <row r="41">
      <c r="A41" s="18" t="inlineStr">
        <is>
          <t>TOTALS</t>
        </is>
      </c>
      <c r="B41" s="27" t="n"/>
      <c r="C41" s="27" t="n"/>
      <c r="D41" s="27" t="n"/>
      <c r="E41" s="27" t="n"/>
      <c r="F41" s="27" t="n"/>
      <c r="G41" s="28">
        <f>SUM(G4:G40)</f>
        <v/>
      </c>
      <c r="H41" s="28">
        <f>SUM(H4:H40)</f>
        <v/>
      </c>
      <c r="I41" s="28">
        <f>SUM(I4:I40)</f>
        <v/>
      </c>
      <c r="J41" s="27" t="n"/>
      <c r="K41" s="27" t="n"/>
      <c r="L41" s="27" t="n"/>
      <c r="M41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9" customWidth="1" min="2" max="2"/>
    <col width="17" customWidth="1" min="3" max="3"/>
    <col width="18" customWidth="1" min="4" max="4"/>
    <col width="19" customWidth="1" min="5" max="5"/>
    <col width="23" customWidth="1" min="6" max="6"/>
    <col width="23" customWidth="1" min="7" max="7"/>
    <col width="42" customWidth="1" min="8" max="8"/>
  </cols>
  <sheetData>
    <row r="1">
      <c r="A1" s="3" t="inlineStr">
        <is>
          <t>STOCK SHEET CUTTING BILL OF MATERIALS (BOM)</t>
        </is>
      </c>
    </row>
    <row r="2"/>
    <row r="3">
      <c r="A3" s="29" t="inlineStr">
        <is>
          <t>Stock Sheet #</t>
        </is>
      </c>
      <c r="B3" s="29" t="inlineStr">
        <is>
          <t>Stock Size (mm)</t>
        </is>
      </c>
      <c r="C3" s="29" t="inlineStr">
        <is>
          <t>Pieces Placed</t>
        </is>
      </c>
      <c r="D3" s="29" t="inlineStr">
        <is>
          <t>Used Area (m²)</t>
        </is>
      </c>
      <c r="E3" s="29" t="inlineStr">
        <is>
          <t>Sheet Area (m²)</t>
        </is>
      </c>
      <c r="F3" s="29" t="inlineStr">
        <is>
          <t>Yield %</t>
        </is>
      </c>
      <c r="G3" s="29" t="inlineStr">
        <is>
          <t>Waste %</t>
        </is>
      </c>
      <c r="H3" s="29" t="inlineStr">
        <is>
          <t>Items Nested on Sheet</t>
        </is>
      </c>
    </row>
    <row r="4">
      <c r="A4" s="8" t="inlineStr">
        <is>
          <t>Sheet #1</t>
        </is>
      </c>
      <c r="B4" s="23" t="inlineStr">
        <is>
          <t>2400 × 1200</t>
        </is>
      </c>
      <c r="C4" s="23" t="n">
        <v>1</v>
      </c>
      <c r="D4" s="22" t="n">
        <v>1.618</v>
      </c>
      <c r="E4" s="22" t="n">
        <v>2.88</v>
      </c>
      <c r="F4" s="12" t="n">
        <v>0.5618</v>
      </c>
      <c r="G4" s="12" t="n">
        <v>0.4382</v>
      </c>
      <c r="H4" s="21" t="inlineStr">
        <is>
          <t>AP-014</t>
        </is>
      </c>
    </row>
    <row r="5">
      <c r="A5" s="13" t="inlineStr">
        <is>
          <t>Sheet #2</t>
        </is>
      </c>
      <c r="B5" s="26" t="inlineStr">
        <is>
          <t>2400 × 1200</t>
        </is>
      </c>
      <c r="C5" s="26" t="n">
        <v>1</v>
      </c>
      <c r="D5" s="25" t="n">
        <v>1.494</v>
      </c>
      <c r="E5" s="25" t="n">
        <v>2.88</v>
      </c>
      <c r="F5" s="17" t="n">
        <v>0.5185999999999999</v>
      </c>
      <c r="G5" s="17" t="n">
        <v>0.4814</v>
      </c>
      <c r="H5" s="24" t="inlineStr">
        <is>
          <t>AP-016</t>
        </is>
      </c>
    </row>
    <row r="6">
      <c r="A6" s="8" t="inlineStr">
        <is>
          <t>Sheet #3</t>
        </is>
      </c>
      <c r="B6" s="23" t="inlineStr">
        <is>
          <t>2400 × 1200</t>
        </is>
      </c>
      <c r="C6" s="23" t="n">
        <v>1</v>
      </c>
      <c r="D6" s="22" t="n">
        <v>1.322</v>
      </c>
      <c r="E6" s="22" t="n">
        <v>2.88</v>
      </c>
      <c r="F6" s="12" t="n">
        <v>0.4591</v>
      </c>
      <c r="G6" s="12" t="n">
        <v>0.5409</v>
      </c>
      <c r="H6" s="21" t="inlineStr">
        <is>
          <t>AP-011</t>
        </is>
      </c>
    </row>
    <row r="7">
      <c r="A7" s="13" t="inlineStr">
        <is>
          <t>Sheet #4</t>
        </is>
      </c>
      <c r="B7" s="26" t="inlineStr">
        <is>
          <t>2400 × 1200</t>
        </is>
      </c>
      <c r="C7" s="26" t="n">
        <v>1</v>
      </c>
      <c r="D7" s="25" t="n">
        <v>1.322</v>
      </c>
      <c r="E7" s="25" t="n">
        <v>2.88</v>
      </c>
      <c r="F7" s="17" t="n">
        <v>0.4591</v>
      </c>
      <c r="G7" s="17" t="n">
        <v>0.5409</v>
      </c>
      <c r="H7" s="24" t="inlineStr">
        <is>
          <t>AP-012</t>
        </is>
      </c>
    </row>
    <row r="8">
      <c r="A8" s="8" t="inlineStr">
        <is>
          <t>Sheet #5</t>
        </is>
      </c>
      <c r="B8" s="23" t="inlineStr">
        <is>
          <t>2400 × 1200</t>
        </is>
      </c>
      <c r="C8" s="23" t="n">
        <v>1</v>
      </c>
      <c r="D8" s="22" t="n">
        <v>1.322</v>
      </c>
      <c r="E8" s="22" t="n">
        <v>2.88</v>
      </c>
      <c r="F8" s="12" t="n">
        <v>0.4591</v>
      </c>
      <c r="G8" s="12" t="n">
        <v>0.5409</v>
      </c>
      <c r="H8" s="21" t="inlineStr">
        <is>
          <t>AP-013</t>
        </is>
      </c>
    </row>
    <row r="9">
      <c r="A9" s="13" t="inlineStr">
        <is>
          <t>Sheet #6</t>
        </is>
      </c>
      <c r="B9" s="26" t="inlineStr">
        <is>
          <t>2400 × 1200</t>
        </is>
      </c>
      <c r="C9" s="26" t="n">
        <v>1</v>
      </c>
      <c r="D9" s="25" t="n">
        <v>0.98</v>
      </c>
      <c r="E9" s="25" t="n">
        <v>2.88</v>
      </c>
      <c r="F9" s="17" t="n">
        <v>0.3403</v>
      </c>
      <c r="G9" s="17" t="n">
        <v>0.6597</v>
      </c>
      <c r="H9" s="24" t="inlineStr">
        <is>
          <t>AP-007</t>
        </is>
      </c>
    </row>
    <row r="10">
      <c r="A10" s="8" t="inlineStr">
        <is>
          <t>Sheet #7</t>
        </is>
      </c>
      <c r="B10" s="23" t="inlineStr">
        <is>
          <t>2400 × 1200</t>
        </is>
      </c>
      <c r="C10" s="23" t="n">
        <v>1</v>
      </c>
      <c r="D10" s="22" t="n">
        <v>0.98</v>
      </c>
      <c r="E10" s="22" t="n">
        <v>2.88</v>
      </c>
      <c r="F10" s="12" t="n">
        <v>0.3403</v>
      </c>
      <c r="G10" s="12" t="n">
        <v>0.6597</v>
      </c>
      <c r="H10" s="21" t="inlineStr">
        <is>
          <t>AP-008</t>
        </is>
      </c>
    </row>
    <row r="11">
      <c r="A11" s="13" t="inlineStr">
        <is>
          <t>Sheet #8</t>
        </is>
      </c>
      <c r="B11" s="26" t="inlineStr">
        <is>
          <t>2400 × 1200</t>
        </is>
      </c>
      <c r="C11" s="26" t="n">
        <v>1</v>
      </c>
      <c r="D11" s="25" t="n">
        <v>0.98</v>
      </c>
      <c r="E11" s="25" t="n">
        <v>2.88</v>
      </c>
      <c r="F11" s="17" t="n">
        <v>0.3403</v>
      </c>
      <c r="G11" s="17" t="n">
        <v>0.6597</v>
      </c>
      <c r="H11" s="24" t="inlineStr">
        <is>
          <t>AP-009</t>
        </is>
      </c>
    </row>
    <row r="12">
      <c r="A12" s="8" t="inlineStr">
        <is>
          <t>Sheet #9</t>
        </is>
      </c>
      <c r="B12" s="23" t="inlineStr">
        <is>
          <t>2400 × 1200</t>
        </is>
      </c>
      <c r="C12" s="23" t="n">
        <v>2</v>
      </c>
      <c r="D12" s="22" t="n">
        <v>1.54</v>
      </c>
      <c r="E12" s="22" t="n">
        <v>2.88</v>
      </c>
      <c r="F12" s="12" t="n">
        <v>0.5347999999999999</v>
      </c>
      <c r="G12" s="12" t="n">
        <v>0.4652000000000001</v>
      </c>
      <c r="H12" s="21" t="inlineStr">
        <is>
          <t>AP-010, AP-019</t>
        </is>
      </c>
    </row>
    <row r="13">
      <c r="A13" s="13" t="inlineStr">
        <is>
          <t>Sheet #10</t>
        </is>
      </c>
      <c r="B13" s="26" t="inlineStr">
        <is>
          <t>2400 × 1200</t>
        </is>
      </c>
      <c r="C13" s="26" t="n">
        <v>2</v>
      </c>
      <c r="D13" s="25" t="n">
        <v>1.68</v>
      </c>
      <c r="E13" s="25" t="n">
        <v>2.88</v>
      </c>
      <c r="F13" s="17" t="n">
        <v>0.5834</v>
      </c>
      <c r="G13" s="17" t="n">
        <v>0.4166</v>
      </c>
      <c r="H13" s="24" t="inlineStr">
        <is>
          <t>AP-026, AP-027</t>
        </is>
      </c>
    </row>
    <row r="14">
      <c r="A14" s="8" t="inlineStr">
        <is>
          <t>Sheet #11</t>
        </is>
      </c>
      <c r="B14" s="23" t="inlineStr">
        <is>
          <t>2400 × 1200</t>
        </is>
      </c>
      <c r="C14" s="23" t="n">
        <v>2</v>
      </c>
      <c r="D14" s="22" t="n">
        <v>1.68</v>
      </c>
      <c r="E14" s="22" t="n">
        <v>2.88</v>
      </c>
      <c r="F14" s="12" t="n">
        <v>0.5834</v>
      </c>
      <c r="G14" s="12" t="n">
        <v>0.4166</v>
      </c>
      <c r="H14" s="21" t="inlineStr">
        <is>
          <t>AP-028, AP-029</t>
        </is>
      </c>
    </row>
    <row r="15">
      <c r="A15" s="13" t="inlineStr">
        <is>
          <t>Sheet #12</t>
        </is>
      </c>
      <c r="B15" s="26" t="inlineStr">
        <is>
          <t>2400 × 1200</t>
        </is>
      </c>
      <c r="C15" s="26" t="n">
        <v>2</v>
      </c>
      <c r="D15" s="25" t="n">
        <v>1.68</v>
      </c>
      <c r="E15" s="25" t="n">
        <v>2.88</v>
      </c>
      <c r="F15" s="17" t="n">
        <v>0.5832999999999999</v>
      </c>
      <c r="G15" s="17" t="n">
        <v>0.4167</v>
      </c>
      <c r="H15" s="24" t="inlineStr">
        <is>
          <t>AP-030, AP-031</t>
        </is>
      </c>
    </row>
    <row r="16">
      <c r="A16" s="8" t="inlineStr">
        <is>
          <t>Sheet #13</t>
        </is>
      </c>
      <c r="B16" s="23" t="inlineStr">
        <is>
          <t>2400 × 1200</t>
        </is>
      </c>
      <c r="C16" s="23" t="n">
        <v>2</v>
      </c>
      <c r="D16" s="22" t="n">
        <v>1.68</v>
      </c>
      <c r="E16" s="22" t="n">
        <v>2.88</v>
      </c>
      <c r="F16" s="12" t="n">
        <v>0.5834</v>
      </c>
      <c r="G16" s="12" t="n">
        <v>0.4166</v>
      </c>
      <c r="H16" s="21" t="inlineStr">
        <is>
          <t>AP-032, AP-033</t>
        </is>
      </c>
    </row>
    <row r="17">
      <c r="A17" s="13" t="inlineStr">
        <is>
          <t>Sheet #14</t>
        </is>
      </c>
      <c r="B17" s="26" t="inlineStr">
        <is>
          <t>2400 × 1200</t>
        </is>
      </c>
      <c r="C17" s="26" t="n">
        <v>2</v>
      </c>
      <c r="D17" s="25" t="n">
        <v>1.68</v>
      </c>
      <c r="E17" s="25" t="n">
        <v>2.88</v>
      </c>
      <c r="F17" s="17" t="n">
        <v>0.5834</v>
      </c>
      <c r="G17" s="17" t="n">
        <v>0.4166</v>
      </c>
      <c r="H17" s="24" t="inlineStr">
        <is>
          <t>AP-034, AP-035</t>
        </is>
      </c>
    </row>
    <row r="18">
      <c r="A18" s="8" t="inlineStr">
        <is>
          <t>Sheet #15</t>
        </is>
      </c>
      <c r="B18" s="23" t="inlineStr">
        <is>
          <t>2400 × 1200</t>
        </is>
      </c>
      <c r="C18" s="23" t="n">
        <v>5</v>
      </c>
      <c r="D18" s="22" t="n">
        <v>1.998</v>
      </c>
      <c r="E18" s="22" t="n">
        <v>2.88</v>
      </c>
      <c r="F18" s="12" t="n">
        <v>0.6936</v>
      </c>
      <c r="G18" s="12" t="n">
        <v>0.3064</v>
      </c>
      <c r="H18" s="21" t="inlineStr">
        <is>
          <t>AP-036, AP-037, AP-002, AP-003, AP-004</t>
        </is>
      </c>
    </row>
    <row r="19">
      <c r="A19" s="13" t="inlineStr">
        <is>
          <t>Sheet #16</t>
        </is>
      </c>
      <c r="B19" s="26" t="inlineStr">
        <is>
          <t>2400 × 1200</t>
        </is>
      </c>
      <c r="C19" s="26" t="n">
        <v>2</v>
      </c>
      <c r="D19" s="25" t="n">
        <v>1.882</v>
      </c>
      <c r="E19" s="25" t="n">
        <v>2.88</v>
      </c>
      <c r="F19" s="17" t="n">
        <v>0.6535</v>
      </c>
      <c r="G19" s="17" t="n">
        <v>0.3465</v>
      </c>
      <c r="H19" s="24" t="inlineStr">
        <is>
          <t>AP-021, AP-022</t>
        </is>
      </c>
    </row>
    <row r="20">
      <c r="A20" s="8" t="inlineStr">
        <is>
          <t>Sheet #17</t>
        </is>
      </c>
      <c r="B20" s="23" t="inlineStr">
        <is>
          <t>2400 × 1200</t>
        </is>
      </c>
      <c r="C20" s="23" t="n">
        <v>2</v>
      </c>
      <c r="D20" s="22" t="n">
        <v>1.882</v>
      </c>
      <c r="E20" s="22" t="n">
        <v>2.88</v>
      </c>
      <c r="F20" s="12" t="n">
        <v>0.6535</v>
      </c>
      <c r="G20" s="12" t="n">
        <v>0.3465</v>
      </c>
      <c r="H20" s="21" t="inlineStr">
        <is>
          <t>AP-023, AP-024</t>
        </is>
      </c>
    </row>
    <row r="21">
      <c r="A21" s="13" t="inlineStr">
        <is>
          <t>Sheet #18</t>
        </is>
      </c>
      <c r="B21" s="26" t="inlineStr">
        <is>
          <t>2400 × 1200</t>
        </is>
      </c>
      <c r="C21" s="26" t="n">
        <v>2</v>
      </c>
      <c r="D21" s="25" t="n">
        <v>1.563</v>
      </c>
      <c r="E21" s="25" t="n">
        <v>2.88</v>
      </c>
      <c r="F21" s="17" t="n">
        <v>0.5428000000000001</v>
      </c>
      <c r="G21" s="17" t="n">
        <v>0.4572</v>
      </c>
      <c r="H21" s="24" t="inlineStr">
        <is>
          <t>AP-025, AP-015</t>
        </is>
      </c>
    </row>
    <row r="22">
      <c r="A22" s="18" t="inlineStr">
        <is>
          <t>TOTAL / OVERALL</t>
        </is>
      </c>
      <c r="B22" s="27" t="n"/>
      <c r="C22" s="18">
        <f>SUM(C4:C21)</f>
        <v/>
      </c>
      <c r="D22" s="28">
        <f>SUM(D4:D21)</f>
        <v/>
      </c>
      <c r="E22" s="28">
        <f>SUM(E4:E21)</f>
        <v/>
      </c>
      <c r="F22" s="30">
        <f>D22/E22</f>
        <v/>
      </c>
      <c r="G22" s="30">
        <f>1-F22</f>
        <v/>
      </c>
      <c r="H22" s="27" t="n"/>
    </row>
    <row r="23"/>
    <row r="24"/>
    <row r="25">
      <c r="A25" s="3" t="inlineStr">
        <is>
          <t>INDIVIDUAL PIECE CUTTING COORDINATES (CNC / SHOP SAW)</t>
        </is>
      </c>
    </row>
    <row r="26"/>
    <row r="27">
      <c r="A27" s="31" t="inlineStr">
        <is>
          <t>Sheet #</t>
        </is>
      </c>
      <c r="B27" s="31" t="inlineStr">
        <is>
          <t>Piece Tag</t>
        </is>
      </c>
      <c r="C27" s="31" t="inlineStr">
        <is>
          <t>Cut X (mm)</t>
        </is>
      </c>
      <c r="D27" s="31" t="inlineStr">
        <is>
          <t>Cut Y (mm)</t>
        </is>
      </c>
      <c r="E27" s="31" t="inlineStr">
        <is>
          <t>Cut Length (mm)</t>
        </is>
      </c>
      <c r="F27" s="31" t="inlineStr">
        <is>
          <t>Cut Width (mm)</t>
        </is>
      </c>
      <c r="G27" s="31" t="inlineStr">
        <is>
          <t>Rotated 90°</t>
        </is>
      </c>
    </row>
    <row r="28">
      <c r="A28" s="23" t="inlineStr">
        <is>
          <t>Sheet #1</t>
        </is>
      </c>
      <c r="B28" s="8" t="inlineStr">
        <is>
          <t>AP-014</t>
        </is>
      </c>
      <c r="C28" s="11" t="n">
        <v>10</v>
      </c>
      <c r="D28" s="11" t="n">
        <v>10</v>
      </c>
      <c r="E28" s="11" t="n">
        <v>2293.1</v>
      </c>
      <c r="F28" s="11" t="n">
        <v>705.6</v>
      </c>
      <c r="G28" s="23" t="inlineStr">
        <is>
          <t>NO</t>
        </is>
      </c>
    </row>
    <row r="29">
      <c r="A29" s="26" t="inlineStr">
        <is>
          <t>Sheet #2</t>
        </is>
      </c>
      <c r="B29" s="13" t="inlineStr">
        <is>
          <t>AP-016</t>
        </is>
      </c>
      <c r="C29" s="16" t="n">
        <v>10</v>
      </c>
      <c r="D29" s="16" t="n">
        <v>10</v>
      </c>
      <c r="E29" s="16" t="n">
        <v>2116.7</v>
      </c>
      <c r="F29" s="16" t="n">
        <v>705.6</v>
      </c>
      <c r="G29" s="26" t="inlineStr">
        <is>
          <t>NO</t>
        </is>
      </c>
    </row>
    <row r="30">
      <c r="A30" s="23" t="inlineStr">
        <is>
          <t>Sheet #3</t>
        </is>
      </c>
      <c r="B30" s="8" t="inlineStr">
        <is>
          <t>AP-011</t>
        </is>
      </c>
      <c r="C30" s="11" t="n">
        <v>10</v>
      </c>
      <c r="D30" s="11" t="n">
        <v>10</v>
      </c>
      <c r="E30" s="11" t="n">
        <v>1499.3</v>
      </c>
      <c r="F30" s="11" t="n">
        <v>881.9</v>
      </c>
      <c r="G30" s="23" t="inlineStr">
        <is>
          <t>NO</t>
        </is>
      </c>
    </row>
    <row r="31">
      <c r="A31" s="26" t="inlineStr">
        <is>
          <t>Sheet #4</t>
        </is>
      </c>
      <c r="B31" s="13" t="inlineStr">
        <is>
          <t>AP-012</t>
        </is>
      </c>
      <c r="C31" s="16" t="n">
        <v>10</v>
      </c>
      <c r="D31" s="16" t="n">
        <v>10</v>
      </c>
      <c r="E31" s="16" t="n">
        <v>1499.3</v>
      </c>
      <c r="F31" s="16" t="n">
        <v>881.9</v>
      </c>
      <c r="G31" s="26" t="inlineStr">
        <is>
          <t>NO</t>
        </is>
      </c>
    </row>
    <row r="32">
      <c r="A32" s="23" t="inlineStr">
        <is>
          <t>Sheet #5</t>
        </is>
      </c>
      <c r="B32" s="8" t="inlineStr">
        <is>
          <t>AP-013</t>
        </is>
      </c>
      <c r="C32" s="11" t="n">
        <v>10</v>
      </c>
      <c r="D32" s="11" t="n">
        <v>10</v>
      </c>
      <c r="E32" s="11" t="n">
        <v>1499.3</v>
      </c>
      <c r="F32" s="11" t="n">
        <v>881.9</v>
      </c>
      <c r="G32" s="23" t="inlineStr">
        <is>
          <t>NO</t>
        </is>
      </c>
    </row>
    <row r="33">
      <c r="A33" s="26" t="inlineStr">
        <is>
          <t>Sheet #6</t>
        </is>
      </c>
      <c r="B33" s="13" t="inlineStr">
        <is>
          <t>AP-007</t>
        </is>
      </c>
      <c r="C33" s="16" t="n">
        <v>10</v>
      </c>
      <c r="D33" s="16" t="n">
        <v>10</v>
      </c>
      <c r="E33" s="16" t="n">
        <v>1234.7</v>
      </c>
      <c r="F33" s="16" t="n">
        <v>793.8</v>
      </c>
      <c r="G33" s="26" t="inlineStr">
        <is>
          <t>NO</t>
        </is>
      </c>
    </row>
    <row r="34">
      <c r="A34" s="23" t="inlineStr">
        <is>
          <t>Sheet #7</t>
        </is>
      </c>
      <c r="B34" s="8" t="inlineStr">
        <is>
          <t>AP-008</t>
        </is>
      </c>
      <c r="C34" s="11" t="n">
        <v>10</v>
      </c>
      <c r="D34" s="11" t="n">
        <v>10</v>
      </c>
      <c r="E34" s="11" t="n">
        <v>1234.7</v>
      </c>
      <c r="F34" s="11" t="n">
        <v>793.8</v>
      </c>
      <c r="G34" s="23" t="inlineStr">
        <is>
          <t>NO</t>
        </is>
      </c>
    </row>
    <row r="35">
      <c r="A35" s="26" t="inlineStr">
        <is>
          <t>Sheet #8</t>
        </is>
      </c>
      <c r="B35" s="13" t="inlineStr">
        <is>
          <t>AP-009</t>
        </is>
      </c>
      <c r="C35" s="16" t="n">
        <v>10</v>
      </c>
      <c r="D35" s="16" t="n">
        <v>10</v>
      </c>
      <c r="E35" s="16" t="n">
        <v>1234.7</v>
      </c>
      <c r="F35" s="16" t="n">
        <v>793.8</v>
      </c>
      <c r="G35" s="26" t="inlineStr">
        <is>
          <t>NO</t>
        </is>
      </c>
    </row>
    <row r="36">
      <c r="A36" s="23" t="inlineStr">
        <is>
          <t>Sheet #9</t>
        </is>
      </c>
      <c r="B36" s="8" t="inlineStr">
        <is>
          <t>AP-010</t>
        </is>
      </c>
      <c r="C36" s="11" t="n">
        <v>10</v>
      </c>
      <c r="D36" s="11" t="n">
        <v>10</v>
      </c>
      <c r="E36" s="11" t="n">
        <v>1234.7</v>
      </c>
      <c r="F36" s="11" t="n">
        <v>793.8</v>
      </c>
      <c r="G36" s="23" t="inlineStr">
        <is>
          <t>NO</t>
        </is>
      </c>
    </row>
    <row r="37">
      <c r="A37" s="26" t="inlineStr">
        <is>
          <t>Sheet #9</t>
        </is>
      </c>
      <c r="B37" s="13" t="inlineStr">
        <is>
          <t>AP-019</t>
        </is>
      </c>
      <c r="C37" s="16" t="n">
        <v>1247.7</v>
      </c>
      <c r="D37" s="16" t="n">
        <v>10</v>
      </c>
      <c r="E37" s="16" t="n">
        <v>1058.3</v>
      </c>
      <c r="F37" s="16" t="n">
        <v>529.2</v>
      </c>
      <c r="G37" s="26" t="inlineStr">
        <is>
          <t>NO</t>
        </is>
      </c>
    </row>
    <row r="38">
      <c r="A38" s="23" t="inlineStr">
        <is>
          <t>Sheet #10</t>
        </is>
      </c>
      <c r="B38" s="8" t="inlineStr">
        <is>
          <t>AP-026</t>
        </is>
      </c>
      <c r="C38" s="11" t="n">
        <v>10</v>
      </c>
      <c r="D38" s="11" t="n">
        <v>10</v>
      </c>
      <c r="E38" s="11" t="n">
        <v>1058.3</v>
      </c>
      <c r="F38" s="11" t="n">
        <v>793.8</v>
      </c>
      <c r="G38" s="23" t="inlineStr">
        <is>
          <t>NO</t>
        </is>
      </c>
    </row>
    <row r="39">
      <c r="A39" s="26" t="inlineStr">
        <is>
          <t>Sheet #10</t>
        </is>
      </c>
      <c r="B39" s="13" t="inlineStr">
        <is>
          <t>AP-027</t>
        </is>
      </c>
      <c r="C39" s="16" t="n">
        <v>1071.3</v>
      </c>
      <c r="D39" s="16" t="n">
        <v>10</v>
      </c>
      <c r="E39" s="16" t="n">
        <v>1058.3</v>
      </c>
      <c r="F39" s="16" t="n">
        <v>793.8</v>
      </c>
      <c r="G39" s="26" t="inlineStr">
        <is>
          <t>NO</t>
        </is>
      </c>
    </row>
    <row r="40">
      <c r="A40" s="23" t="inlineStr">
        <is>
          <t>Sheet #11</t>
        </is>
      </c>
      <c r="B40" s="8" t="inlineStr">
        <is>
          <t>AP-028</t>
        </is>
      </c>
      <c r="C40" s="11" t="n">
        <v>10</v>
      </c>
      <c r="D40" s="11" t="n">
        <v>10</v>
      </c>
      <c r="E40" s="11" t="n">
        <v>1058.3</v>
      </c>
      <c r="F40" s="11" t="n">
        <v>793.8</v>
      </c>
      <c r="G40" s="23" t="inlineStr">
        <is>
          <t>NO</t>
        </is>
      </c>
    </row>
    <row r="41">
      <c r="A41" s="26" t="inlineStr">
        <is>
          <t>Sheet #11</t>
        </is>
      </c>
      <c r="B41" s="13" t="inlineStr">
        <is>
          <t>AP-029</t>
        </is>
      </c>
      <c r="C41" s="16" t="n">
        <v>1071.3</v>
      </c>
      <c r="D41" s="16" t="n">
        <v>10</v>
      </c>
      <c r="E41" s="16" t="n">
        <v>1058.3</v>
      </c>
      <c r="F41" s="16" t="n">
        <v>793.7</v>
      </c>
      <c r="G41" s="26" t="inlineStr">
        <is>
          <t>NO</t>
        </is>
      </c>
    </row>
    <row r="42">
      <c r="A42" s="23" t="inlineStr">
        <is>
          <t>Sheet #12</t>
        </is>
      </c>
      <c r="B42" s="8" t="inlineStr">
        <is>
          <t>AP-030</t>
        </is>
      </c>
      <c r="C42" s="11" t="n">
        <v>10</v>
      </c>
      <c r="D42" s="11" t="n">
        <v>10</v>
      </c>
      <c r="E42" s="11" t="n">
        <v>1058.3</v>
      </c>
      <c r="F42" s="11" t="n">
        <v>793.7</v>
      </c>
      <c r="G42" s="23" t="inlineStr">
        <is>
          <t>NO</t>
        </is>
      </c>
    </row>
    <row r="43">
      <c r="A43" s="26" t="inlineStr">
        <is>
          <t>Sheet #12</t>
        </is>
      </c>
      <c r="B43" s="13" t="inlineStr">
        <is>
          <t>AP-031</t>
        </is>
      </c>
      <c r="C43" s="16" t="n">
        <v>1071.3</v>
      </c>
      <c r="D43" s="16" t="n">
        <v>10</v>
      </c>
      <c r="E43" s="16" t="n">
        <v>1058.3</v>
      </c>
      <c r="F43" s="16" t="n">
        <v>793.7</v>
      </c>
      <c r="G43" s="26" t="inlineStr">
        <is>
          <t>NO</t>
        </is>
      </c>
    </row>
    <row r="44">
      <c r="A44" s="23" t="inlineStr">
        <is>
          <t>Sheet #13</t>
        </is>
      </c>
      <c r="B44" s="8" t="inlineStr">
        <is>
          <t>AP-032</t>
        </is>
      </c>
      <c r="C44" s="11" t="n">
        <v>10</v>
      </c>
      <c r="D44" s="11" t="n">
        <v>10</v>
      </c>
      <c r="E44" s="11" t="n">
        <v>1058.3</v>
      </c>
      <c r="F44" s="11" t="n">
        <v>793.8</v>
      </c>
      <c r="G44" s="23" t="inlineStr">
        <is>
          <t>NO</t>
        </is>
      </c>
    </row>
    <row r="45">
      <c r="A45" s="26" t="inlineStr">
        <is>
          <t>Sheet #13</t>
        </is>
      </c>
      <c r="B45" s="13" t="inlineStr">
        <is>
          <t>AP-033</t>
        </is>
      </c>
      <c r="C45" s="16" t="n">
        <v>1071.3</v>
      </c>
      <c r="D45" s="16" t="n">
        <v>10</v>
      </c>
      <c r="E45" s="16" t="n">
        <v>1058.3</v>
      </c>
      <c r="F45" s="16" t="n">
        <v>793.8</v>
      </c>
      <c r="G45" s="26" t="inlineStr">
        <is>
          <t>NO</t>
        </is>
      </c>
    </row>
    <row r="46">
      <c r="A46" s="23" t="inlineStr">
        <is>
          <t>Sheet #14</t>
        </is>
      </c>
      <c r="B46" s="8" t="inlineStr">
        <is>
          <t>AP-034</t>
        </is>
      </c>
      <c r="C46" s="11" t="n">
        <v>10</v>
      </c>
      <c r="D46" s="11" t="n">
        <v>10</v>
      </c>
      <c r="E46" s="11" t="n">
        <v>1058.3</v>
      </c>
      <c r="F46" s="11" t="n">
        <v>793.8</v>
      </c>
      <c r="G46" s="23" t="inlineStr">
        <is>
          <t>NO</t>
        </is>
      </c>
    </row>
    <row r="47">
      <c r="A47" s="26" t="inlineStr">
        <is>
          <t>Sheet #14</t>
        </is>
      </c>
      <c r="B47" s="13" t="inlineStr">
        <is>
          <t>AP-035</t>
        </is>
      </c>
      <c r="C47" s="16" t="n">
        <v>1071.3</v>
      </c>
      <c r="D47" s="16" t="n">
        <v>10</v>
      </c>
      <c r="E47" s="16" t="n">
        <v>1058.3</v>
      </c>
      <c r="F47" s="16" t="n">
        <v>793.8</v>
      </c>
      <c r="G47" s="26" t="inlineStr">
        <is>
          <t>NO</t>
        </is>
      </c>
    </row>
    <row r="48">
      <c r="A48" s="23" t="inlineStr">
        <is>
          <t>Sheet #15</t>
        </is>
      </c>
      <c r="B48" s="8" t="inlineStr">
        <is>
          <t>AP-036</t>
        </is>
      </c>
      <c r="C48" s="11" t="n">
        <v>10</v>
      </c>
      <c r="D48" s="11" t="n">
        <v>10</v>
      </c>
      <c r="E48" s="11" t="n">
        <v>1058.3</v>
      </c>
      <c r="F48" s="11" t="n">
        <v>793.8</v>
      </c>
      <c r="G48" s="23" t="inlineStr">
        <is>
          <t>NO</t>
        </is>
      </c>
    </row>
    <row r="49">
      <c r="A49" s="26" t="inlineStr">
        <is>
          <t>Sheet #15</t>
        </is>
      </c>
      <c r="B49" s="13" t="inlineStr">
        <is>
          <t>AP-037</t>
        </is>
      </c>
      <c r="C49" s="16" t="n">
        <v>1071.3</v>
      </c>
      <c r="D49" s="16" t="n">
        <v>10</v>
      </c>
      <c r="E49" s="16" t="n">
        <v>1058.3</v>
      </c>
      <c r="F49" s="16" t="n">
        <v>793.8</v>
      </c>
      <c r="G49" s="26" t="inlineStr">
        <is>
          <t>NO</t>
        </is>
      </c>
    </row>
    <row r="50">
      <c r="A50" s="23" t="inlineStr">
        <is>
          <t>Sheet #15</t>
        </is>
      </c>
      <c r="B50" s="8" t="inlineStr">
        <is>
          <t>AP-002</t>
        </is>
      </c>
      <c r="C50" s="11" t="n">
        <v>10</v>
      </c>
      <c r="D50" s="11" t="n">
        <v>806.8</v>
      </c>
      <c r="E50" s="11" t="n">
        <v>1000.1</v>
      </c>
      <c r="F50" s="11" t="n">
        <v>105.8</v>
      </c>
      <c r="G50" s="23" t="inlineStr">
        <is>
          <t>NO</t>
        </is>
      </c>
    </row>
    <row r="51">
      <c r="A51" s="26" t="inlineStr">
        <is>
          <t>Sheet #15</t>
        </is>
      </c>
      <c r="B51" s="13" t="inlineStr">
        <is>
          <t>AP-003</t>
        </is>
      </c>
      <c r="C51" s="16" t="n">
        <v>1013.1</v>
      </c>
      <c r="D51" s="16" t="n">
        <v>806.8</v>
      </c>
      <c r="E51" s="16" t="n">
        <v>1000.1</v>
      </c>
      <c r="F51" s="16" t="n">
        <v>105.8</v>
      </c>
      <c r="G51" s="26" t="inlineStr">
        <is>
          <t>NO</t>
        </is>
      </c>
    </row>
    <row r="52">
      <c r="A52" s="23" t="inlineStr">
        <is>
          <t>Sheet #15</t>
        </is>
      </c>
      <c r="B52" s="8" t="inlineStr">
        <is>
          <t>AP-004</t>
        </is>
      </c>
      <c r="C52" s="11" t="n">
        <v>10</v>
      </c>
      <c r="D52" s="11" t="n">
        <v>915.6</v>
      </c>
      <c r="E52" s="11" t="n">
        <v>1000.1</v>
      </c>
      <c r="F52" s="11" t="n">
        <v>105.8</v>
      </c>
      <c r="G52" s="23" t="inlineStr">
        <is>
          <t>NO</t>
        </is>
      </c>
    </row>
    <row r="53">
      <c r="A53" s="26" t="inlineStr">
        <is>
          <t>Sheet #16</t>
        </is>
      </c>
      <c r="B53" s="13" t="inlineStr">
        <is>
          <t>AP-021</t>
        </is>
      </c>
      <c r="C53" s="16" t="n">
        <v>10</v>
      </c>
      <c r="D53" s="16" t="n">
        <v>10</v>
      </c>
      <c r="E53" s="16" t="n">
        <v>970.1</v>
      </c>
      <c r="F53" s="16" t="n">
        <v>970.1</v>
      </c>
      <c r="G53" s="26" t="inlineStr">
        <is>
          <t>NO</t>
        </is>
      </c>
    </row>
    <row r="54">
      <c r="A54" s="23" t="inlineStr">
        <is>
          <t>Sheet #16</t>
        </is>
      </c>
      <c r="B54" s="8" t="inlineStr">
        <is>
          <t>AP-022</t>
        </is>
      </c>
      <c r="C54" s="11" t="n">
        <v>983.1</v>
      </c>
      <c r="D54" s="11" t="n">
        <v>10</v>
      </c>
      <c r="E54" s="11" t="n">
        <v>970.1</v>
      </c>
      <c r="F54" s="11" t="n">
        <v>970.1</v>
      </c>
      <c r="G54" s="23" t="inlineStr">
        <is>
          <t>NO</t>
        </is>
      </c>
    </row>
    <row r="55">
      <c r="A55" s="26" t="inlineStr">
        <is>
          <t>Sheet #17</t>
        </is>
      </c>
      <c r="B55" s="13" t="inlineStr">
        <is>
          <t>AP-023</t>
        </is>
      </c>
      <c r="C55" s="16" t="n">
        <v>10</v>
      </c>
      <c r="D55" s="16" t="n">
        <v>10</v>
      </c>
      <c r="E55" s="16" t="n">
        <v>970.1</v>
      </c>
      <c r="F55" s="16" t="n">
        <v>970.1</v>
      </c>
      <c r="G55" s="26" t="inlineStr">
        <is>
          <t>NO</t>
        </is>
      </c>
    </row>
    <row r="56">
      <c r="A56" s="23" t="inlineStr">
        <is>
          <t>Sheet #17</t>
        </is>
      </c>
      <c r="B56" s="8" t="inlineStr">
        <is>
          <t>AP-024</t>
        </is>
      </c>
      <c r="C56" s="11" t="n">
        <v>983.1</v>
      </c>
      <c r="D56" s="11" t="n">
        <v>10</v>
      </c>
      <c r="E56" s="11" t="n">
        <v>970.1</v>
      </c>
      <c r="F56" s="11" t="n">
        <v>970.1</v>
      </c>
      <c r="G56" s="23" t="inlineStr">
        <is>
          <t>NO</t>
        </is>
      </c>
    </row>
    <row r="57">
      <c r="A57" s="26" t="inlineStr">
        <is>
          <t>Sheet #18</t>
        </is>
      </c>
      <c r="B57" s="13" t="inlineStr">
        <is>
          <t>AP-025</t>
        </is>
      </c>
      <c r="C57" s="16" t="n">
        <v>10</v>
      </c>
      <c r="D57" s="16" t="n">
        <v>10</v>
      </c>
      <c r="E57" s="16" t="n">
        <v>970.1</v>
      </c>
      <c r="F57" s="16" t="n">
        <v>970.1</v>
      </c>
      <c r="G57" s="26" t="inlineStr">
        <is>
          <t>NO</t>
        </is>
      </c>
    </row>
    <row r="58">
      <c r="A58" s="23" t="inlineStr">
        <is>
          <t>Sheet #18</t>
        </is>
      </c>
      <c r="B58" s="8" t="inlineStr">
        <is>
          <t>AP-015</t>
        </is>
      </c>
      <c r="C58" s="11" t="n">
        <v>983.1</v>
      </c>
      <c r="D58" s="11" t="n">
        <v>10</v>
      </c>
      <c r="E58" s="11" t="n">
        <v>881.9</v>
      </c>
      <c r="F58" s="11" t="n">
        <v>705.6</v>
      </c>
      <c r="G58" s="2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  <col width="23" customWidth="1" min="4" max="4"/>
    <col width="22" customWidth="1" min="5" max="5"/>
    <col width="21" customWidth="1" min="6" max="6"/>
    <col width="27" customWidth="1" min="7" max="7"/>
  </cols>
  <sheetData>
    <row r="1">
      <c r="A1" s="3" t="inlineStr">
        <is>
          <t>SHOP FLOOR REMNANT OFFCUT &amp; SCRAP LOG</t>
        </is>
      </c>
    </row>
    <row r="2"/>
    <row r="3">
      <c r="A3" s="31" t="inlineStr">
        <is>
          <t>Sheet Origin</t>
        </is>
      </c>
      <c r="B3" s="31" t="inlineStr">
        <is>
          <t>Remnant X (mm)</t>
        </is>
      </c>
      <c r="C3" s="31" t="inlineStr">
        <is>
          <t>Remnant Y (mm)</t>
        </is>
      </c>
      <c r="D3" s="31" t="inlineStr">
        <is>
          <t>Remnant Length (mm)</t>
        </is>
      </c>
      <c r="E3" s="31" t="inlineStr">
        <is>
          <t>Remnant Width (mm)</t>
        </is>
      </c>
      <c r="F3" s="31" t="inlineStr">
        <is>
          <t>Remnant Area (m²)</t>
        </is>
      </c>
      <c r="G3" s="31" t="inlineStr">
        <is>
          <t>Classification / Status</t>
        </is>
      </c>
    </row>
    <row r="4">
      <c r="A4" s="23" t="inlineStr">
        <is>
          <t>Sheet #1</t>
        </is>
      </c>
      <c r="B4" s="11" t="n">
        <v>2303.1</v>
      </c>
      <c r="C4" s="11" t="n">
        <v>0</v>
      </c>
      <c r="D4" s="11" t="n">
        <v>96.90000000000001</v>
      </c>
      <c r="E4" s="11" t="n">
        <v>1200</v>
      </c>
      <c r="F4" s="22" t="n">
        <v>0.116</v>
      </c>
      <c r="G4" s="32" t="inlineStr">
        <is>
          <t>Recyclable Scrap</t>
        </is>
      </c>
    </row>
    <row r="5">
      <c r="A5" s="26" t="inlineStr">
        <is>
          <t>Sheet #1</t>
        </is>
      </c>
      <c r="B5" s="16" t="n">
        <v>0</v>
      </c>
      <c r="C5" s="16" t="n">
        <v>715.6</v>
      </c>
      <c r="D5" s="16" t="n">
        <v>2303.1</v>
      </c>
      <c r="E5" s="16" t="n">
        <v>484.4</v>
      </c>
      <c r="F5" s="25" t="n">
        <v>1.116</v>
      </c>
      <c r="G5" s="33" t="inlineStr">
        <is>
          <t>Recyclable Scrap</t>
        </is>
      </c>
    </row>
    <row r="6">
      <c r="A6" s="23" t="inlineStr">
        <is>
          <t>Sheet #2</t>
        </is>
      </c>
      <c r="B6" s="11" t="n">
        <v>2126.7</v>
      </c>
      <c r="C6" s="11" t="n">
        <v>0</v>
      </c>
      <c r="D6" s="11" t="n">
        <v>273.3</v>
      </c>
      <c r="E6" s="11" t="n">
        <v>1200</v>
      </c>
      <c r="F6" s="22" t="n">
        <v>0.328</v>
      </c>
      <c r="G6" s="32" t="inlineStr">
        <is>
          <t>Recyclable Scrap</t>
        </is>
      </c>
    </row>
    <row r="7">
      <c r="A7" s="26" t="inlineStr">
        <is>
          <t>Sheet #2</t>
        </is>
      </c>
      <c r="B7" s="16" t="n">
        <v>0</v>
      </c>
      <c r="C7" s="16" t="n">
        <v>715.6</v>
      </c>
      <c r="D7" s="16" t="n">
        <v>2126.7</v>
      </c>
      <c r="E7" s="16" t="n">
        <v>484.4</v>
      </c>
      <c r="F7" s="25" t="n">
        <v>1.03</v>
      </c>
      <c r="G7" s="33" t="inlineStr">
        <is>
          <t>Recyclable Scrap</t>
        </is>
      </c>
    </row>
    <row r="8">
      <c r="A8" s="23" t="inlineStr">
        <is>
          <t>Sheet #3</t>
        </is>
      </c>
      <c r="B8" s="11" t="n">
        <v>1509.3</v>
      </c>
      <c r="C8" s="11" t="n">
        <v>0</v>
      </c>
      <c r="D8" s="11" t="n">
        <v>890.7</v>
      </c>
      <c r="E8" s="11" t="n">
        <v>1200</v>
      </c>
      <c r="F8" s="22" t="n">
        <v>1.069</v>
      </c>
      <c r="G8" s="34" t="inlineStr">
        <is>
          <t>Usable Stock Inventory</t>
        </is>
      </c>
    </row>
    <row r="9">
      <c r="A9" s="26" t="inlineStr">
        <is>
          <t>Sheet #3</t>
        </is>
      </c>
      <c r="B9" s="16" t="n">
        <v>0</v>
      </c>
      <c r="C9" s="16" t="n">
        <v>891.9</v>
      </c>
      <c r="D9" s="16" t="n">
        <v>1509.3</v>
      </c>
      <c r="E9" s="16" t="n">
        <v>308.1</v>
      </c>
      <c r="F9" s="25" t="n">
        <v>0.465</v>
      </c>
      <c r="G9" s="33" t="inlineStr">
        <is>
          <t>Recyclable Scrap</t>
        </is>
      </c>
    </row>
    <row r="10">
      <c r="A10" s="23" t="inlineStr">
        <is>
          <t>Sheet #4</t>
        </is>
      </c>
      <c r="B10" s="11" t="n">
        <v>1509.3</v>
      </c>
      <c r="C10" s="11" t="n">
        <v>0</v>
      </c>
      <c r="D10" s="11" t="n">
        <v>890.7</v>
      </c>
      <c r="E10" s="11" t="n">
        <v>1200</v>
      </c>
      <c r="F10" s="22" t="n">
        <v>1.069</v>
      </c>
      <c r="G10" s="34" t="inlineStr">
        <is>
          <t>Usable Stock Inventory</t>
        </is>
      </c>
    </row>
    <row r="11">
      <c r="A11" s="26" t="inlineStr">
        <is>
          <t>Sheet #4</t>
        </is>
      </c>
      <c r="B11" s="16" t="n">
        <v>0</v>
      </c>
      <c r="C11" s="16" t="n">
        <v>891.9</v>
      </c>
      <c r="D11" s="16" t="n">
        <v>1509.3</v>
      </c>
      <c r="E11" s="16" t="n">
        <v>308.1</v>
      </c>
      <c r="F11" s="25" t="n">
        <v>0.465</v>
      </c>
      <c r="G11" s="33" t="inlineStr">
        <is>
          <t>Recyclable Scrap</t>
        </is>
      </c>
    </row>
    <row r="12">
      <c r="A12" s="23" t="inlineStr">
        <is>
          <t>Sheet #5</t>
        </is>
      </c>
      <c r="B12" s="11" t="n">
        <v>1509.3</v>
      </c>
      <c r="C12" s="11" t="n">
        <v>0</v>
      </c>
      <c r="D12" s="11" t="n">
        <v>890.7</v>
      </c>
      <c r="E12" s="11" t="n">
        <v>1200</v>
      </c>
      <c r="F12" s="22" t="n">
        <v>1.069</v>
      </c>
      <c r="G12" s="34" t="inlineStr">
        <is>
          <t>Usable Stock Inventory</t>
        </is>
      </c>
    </row>
    <row r="13">
      <c r="A13" s="26" t="inlineStr">
        <is>
          <t>Sheet #5</t>
        </is>
      </c>
      <c r="B13" s="16" t="n">
        <v>0</v>
      </c>
      <c r="C13" s="16" t="n">
        <v>891.9</v>
      </c>
      <c r="D13" s="16" t="n">
        <v>1509.3</v>
      </c>
      <c r="E13" s="16" t="n">
        <v>308.1</v>
      </c>
      <c r="F13" s="25" t="n">
        <v>0.465</v>
      </c>
      <c r="G13" s="33" t="inlineStr">
        <is>
          <t>Recyclable Scrap</t>
        </is>
      </c>
    </row>
    <row r="14">
      <c r="A14" s="23" t="inlineStr">
        <is>
          <t>Sheet #6</t>
        </is>
      </c>
      <c r="B14" s="11" t="n">
        <v>1244.7</v>
      </c>
      <c r="C14" s="11" t="n">
        <v>0</v>
      </c>
      <c r="D14" s="11" t="n">
        <v>1155.3</v>
      </c>
      <c r="E14" s="11" t="n">
        <v>1200</v>
      </c>
      <c r="F14" s="22" t="n">
        <v>1.386</v>
      </c>
      <c r="G14" s="34" t="inlineStr">
        <is>
          <t>Usable Stock Inventory</t>
        </is>
      </c>
    </row>
    <row r="15">
      <c r="A15" s="26" t="inlineStr">
        <is>
          <t>Sheet #6</t>
        </is>
      </c>
      <c r="B15" s="16" t="n">
        <v>0</v>
      </c>
      <c r="C15" s="16" t="n">
        <v>803.8</v>
      </c>
      <c r="D15" s="16" t="n">
        <v>1244.7</v>
      </c>
      <c r="E15" s="16" t="n">
        <v>396.2</v>
      </c>
      <c r="F15" s="25" t="n">
        <v>0.493</v>
      </c>
      <c r="G15" s="33" t="inlineStr">
        <is>
          <t>Recyclable Scrap</t>
        </is>
      </c>
    </row>
    <row r="16">
      <c r="A16" s="23" t="inlineStr">
        <is>
          <t>Sheet #7</t>
        </is>
      </c>
      <c r="B16" s="11" t="n">
        <v>1244.7</v>
      </c>
      <c r="C16" s="11" t="n">
        <v>0</v>
      </c>
      <c r="D16" s="11" t="n">
        <v>1155.3</v>
      </c>
      <c r="E16" s="11" t="n">
        <v>1200</v>
      </c>
      <c r="F16" s="22" t="n">
        <v>1.386</v>
      </c>
      <c r="G16" s="34" t="inlineStr">
        <is>
          <t>Usable Stock Inventory</t>
        </is>
      </c>
    </row>
    <row r="17">
      <c r="A17" s="26" t="inlineStr">
        <is>
          <t>Sheet #7</t>
        </is>
      </c>
      <c r="B17" s="16" t="n">
        <v>0</v>
      </c>
      <c r="C17" s="16" t="n">
        <v>803.8</v>
      </c>
      <c r="D17" s="16" t="n">
        <v>1244.7</v>
      </c>
      <c r="E17" s="16" t="n">
        <v>396.2</v>
      </c>
      <c r="F17" s="25" t="n">
        <v>0.493</v>
      </c>
      <c r="G17" s="33" t="inlineStr">
        <is>
          <t>Recyclable Scrap</t>
        </is>
      </c>
    </row>
    <row r="18">
      <c r="A18" s="23" t="inlineStr">
        <is>
          <t>Sheet #8</t>
        </is>
      </c>
      <c r="B18" s="11" t="n">
        <v>1244.7</v>
      </c>
      <c r="C18" s="11" t="n">
        <v>0</v>
      </c>
      <c r="D18" s="11" t="n">
        <v>1155.3</v>
      </c>
      <c r="E18" s="11" t="n">
        <v>1200</v>
      </c>
      <c r="F18" s="22" t="n">
        <v>1.386</v>
      </c>
      <c r="G18" s="34" t="inlineStr">
        <is>
          <t>Usable Stock Inventory</t>
        </is>
      </c>
    </row>
    <row r="19">
      <c r="A19" s="26" t="inlineStr">
        <is>
          <t>Sheet #8</t>
        </is>
      </c>
      <c r="B19" s="16" t="n">
        <v>0</v>
      </c>
      <c r="C19" s="16" t="n">
        <v>803.8</v>
      </c>
      <c r="D19" s="16" t="n">
        <v>1244.7</v>
      </c>
      <c r="E19" s="16" t="n">
        <v>396.2</v>
      </c>
      <c r="F19" s="25" t="n">
        <v>0.493</v>
      </c>
      <c r="G19" s="33" t="inlineStr">
        <is>
          <t>Recyclable Scrap</t>
        </is>
      </c>
    </row>
    <row r="20">
      <c r="A20" s="23" t="inlineStr">
        <is>
          <t>Sheet #9</t>
        </is>
      </c>
      <c r="B20" s="11" t="n">
        <v>2306</v>
      </c>
      <c r="C20" s="11" t="n">
        <v>0</v>
      </c>
      <c r="D20" s="11" t="n">
        <v>94</v>
      </c>
      <c r="E20" s="11" t="n">
        <v>1200</v>
      </c>
      <c r="F20" s="22" t="n">
        <v>0.113</v>
      </c>
      <c r="G20" s="32" t="inlineStr">
        <is>
          <t>Recyclable Scrap</t>
        </is>
      </c>
    </row>
    <row r="21">
      <c r="A21" s="26" t="inlineStr">
        <is>
          <t>Sheet #9</t>
        </is>
      </c>
      <c r="B21" s="16" t="n">
        <v>0</v>
      </c>
      <c r="C21" s="16" t="n">
        <v>803.8</v>
      </c>
      <c r="D21" s="16" t="n">
        <v>2306</v>
      </c>
      <c r="E21" s="16" t="n">
        <v>396.2</v>
      </c>
      <c r="F21" s="25" t="n">
        <v>0.914</v>
      </c>
      <c r="G21" s="33" t="inlineStr">
        <is>
          <t>Recyclable Scrap</t>
        </is>
      </c>
    </row>
    <row r="22">
      <c r="A22" s="23" t="inlineStr">
        <is>
          <t>Sheet #10</t>
        </is>
      </c>
      <c r="B22" s="11" t="n">
        <v>2129.6</v>
      </c>
      <c r="C22" s="11" t="n">
        <v>0</v>
      </c>
      <c r="D22" s="11" t="n">
        <v>270.4</v>
      </c>
      <c r="E22" s="11" t="n">
        <v>1200</v>
      </c>
      <c r="F22" s="22" t="n">
        <v>0.324</v>
      </c>
      <c r="G22" s="32" t="inlineStr">
        <is>
          <t>Recyclable Scrap</t>
        </is>
      </c>
    </row>
    <row r="23">
      <c r="A23" s="26" t="inlineStr">
        <is>
          <t>Sheet #10</t>
        </is>
      </c>
      <c r="B23" s="16" t="n">
        <v>0</v>
      </c>
      <c r="C23" s="16" t="n">
        <v>803.8</v>
      </c>
      <c r="D23" s="16" t="n">
        <v>2129.6</v>
      </c>
      <c r="E23" s="16" t="n">
        <v>396.2</v>
      </c>
      <c r="F23" s="25" t="n">
        <v>0.844</v>
      </c>
      <c r="G23" s="33" t="inlineStr">
        <is>
          <t>Recyclable Scrap</t>
        </is>
      </c>
    </row>
    <row r="24">
      <c r="A24" s="23" t="inlineStr">
        <is>
          <t>Sheet #11</t>
        </is>
      </c>
      <c r="B24" s="11" t="n">
        <v>2129.6</v>
      </c>
      <c r="C24" s="11" t="n">
        <v>0</v>
      </c>
      <c r="D24" s="11" t="n">
        <v>270.4</v>
      </c>
      <c r="E24" s="11" t="n">
        <v>1200</v>
      </c>
      <c r="F24" s="22" t="n">
        <v>0.324</v>
      </c>
      <c r="G24" s="32" t="inlineStr">
        <is>
          <t>Recyclable Scrap</t>
        </is>
      </c>
    </row>
    <row r="25">
      <c r="A25" s="26" t="inlineStr">
        <is>
          <t>Sheet #11</t>
        </is>
      </c>
      <c r="B25" s="16" t="n">
        <v>0</v>
      </c>
      <c r="C25" s="16" t="n">
        <v>803.8</v>
      </c>
      <c r="D25" s="16" t="n">
        <v>2129.6</v>
      </c>
      <c r="E25" s="16" t="n">
        <v>396.2</v>
      </c>
      <c r="F25" s="25" t="n">
        <v>0.844</v>
      </c>
      <c r="G25" s="33" t="inlineStr">
        <is>
          <t>Recyclable Scrap</t>
        </is>
      </c>
    </row>
    <row r="26">
      <c r="A26" s="23" t="inlineStr">
        <is>
          <t>Sheet #12</t>
        </is>
      </c>
      <c r="B26" s="11" t="n">
        <v>2129.6</v>
      </c>
      <c r="C26" s="11" t="n">
        <v>0</v>
      </c>
      <c r="D26" s="11" t="n">
        <v>270.4</v>
      </c>
      <c r="E26" s="11" t="n">
        <v>1200</v>
      </c>
      <c r="F26" s="22" t="n">
        <v>0.324</v>
      </c>
      <c r="G26" s="32" t="inlineStr">
        <is>
          <t>Recyclable Scrap</t>
        </is>
      </c>
    </row>
    <row r="27">
      <c r="A27" s="26" t="inlineStr">
        <is>
          <t>Sheet #12</t>
        </is>
      </c>
      <c r="B27" s="16" t="n">
        <v>0</v>
      </c>
      <c r="C27" s="16" t="n">
        <v>803.7</v>
      </c>
      <c r="D27" s="16" t="n">
        <v>2129.6</v>
      </c>
      <c r="E27" s="16" t="n">
        <v>396.3</v>
      </c>
      <c r="F27" s="25" t="n">
        <v>0.844</v>
      </c>
      <c r="G27" s="33" t="inlineStr">
        <is>
          <t>Recyclable Scrap</t>
        </is>
      </c>
    </row>
    <row r="28">
      <c r="A28" s="23" t="inlineStr">
        <is>
          <t>Sheet #13</t>
        </is>
      </c>
      <c r="B28" s="11" t="n">
        <v>2129.6</v>
      </c>
      <c r="C28" s="11" t="n">
        <v>0</v>
      </c>
      <c r="D28" s="11" t="n">
        <v>270.4</v>
      </c>
      <c r="E28" s="11" t="n">
        <v>1200</v>
      </c>
      <c r="F28" s="22" t="n">
        <v>0.324</v>
      </c>
      <c r="G28" s="32" t="inlineStr">
        <is>
          <t>Recyclable Scrap</t>
        </is>
      </c>
    </row>
    <row r="29">
      <c r="A29" s="26" t="inlineStr">
        <is>
          <t>Sheet #13</t>
        </is>
      </c>
      <c r="B29" s="16" t="n">
        <v>0</v>
      </c>
      <c r="C29" s="16" t="n">
        <v>803.8</v>
      </c>
      <c r="D29" s="16" t="n">
        <v>2129.6</v>
      </c>
      <c r="E29" s="16" t="n">
        <v>396.2</v>
      </c>
      <c r="F29" s="25" t="n">
        <v>0.844</v>
      </c>
      <c r="G29" s="33" t="inlineStr">
        <is>
          <t>Recyclable Scrap</t>
        </is>
      </c>
    </row>
    <row r="30">
      <c r="A30" s="23" t="inlineStr">
        <is>
          <t>Sheet #14</t>
        </is>
      </c>
      <c r="B30" s="11" t="n">
        <v>2129.6</v>
      </c>
      <c r="C30" s="11" t="n">
        <v>0</v>
      </c>
      <c r="D30" s="11" t="n">
        <v>270.4</v>
      </c>
      <c r="E30" s="11" t="n">
        <v>1200</v>
      </c>
      <c r="F30" s="22" t="n">
        <v>0.324</v>
      </c>
      <c r="G30" s="32" t="inlineStr">
        <is>
          <t>Recyclable Scrap</t>
        </is>
      </c>
    </row>
    <row r="31">
      <c r="A31" s="26" t="inlineStr">
        <is>
          <t>Sheet #14</t>
        </is>
      </c>
      <c r="B31" s="16" t="n">
        <v>0</v>
      </c>
      <c r="C31" s="16" t="n">
        <v>803.8</v>
      </c>
      <c r="D31" s="16" t="n">
        <v>2129.6</v>
      </c>
      <c r="E31" s="16" t="n">
        <v>396.2</v>
      </c>
      <c r="F31" s="25" t="n">
        <v>0.844</v>
      </c>
      <c r="G31" s="33" t="inlineStr">
        <is>
          <t>Recyclable Scrap</t>
        </is>
      </c>
    </row>
    <row r="32">
      <c r="A32" s="23" t="inlineStr">
        <is>
          <t>Sheet #15</t>
        </is>
      </c>
      <c r="B32" s="11" t="n">
        <v>2129.6</v>
      </c>
      <c r="C32" s="11" t="n">
        <v>0</v>
      </c>
      <c r="D32" s="11" t="n">
        <v>270.4</v>
      </c>
      <c r="E32" s="11" t="n">
        <v>1200</v>
      </c>
      <c r="F32" s="22" t="n">
        <v>0.324</v>
      </c>
      <c r="G32" s="32" t="inlineStr">
        <is>
          <t>Recyclable Scrap</t>
        </is>
      </c>
    </row>
    <row r="33">
      <c r="A33" s="26" t="inlineStr">
        <is>
          <t>Sheet #15</t>
        </is>
      </c>
      <c r="B33" s="16" t="n">
        <v>0</v>
      </c>
      <c r="C33" s="16" t="n">
        <v>1021.4</v>
      </c>
      <c r="D33" s="16" t="n">
        <v>2129.6</v>
      </c>
      <c r="E33" s="16" t="n">
        <v>178.6</v>
      </c>
      <c r="F33" s="25" t="n">
        <v>0.38</v>
      </c>
      <c r="G33" s="33" t="inlineStr">
        <is>
          <t>Recyclable Scrap</t>
        </is>
      </c>
    </row>
    <row r="34">
      <c r="A34" s="23" t="inlineStr">
        <is>
          <t>Sheet #16</t>
        </is>
      </c>
      <c r="B34" s="11" t="n">
        <v>1953.2</v>
      </c>
      <c r="C34" s="11" t="n">
        <v>0</v>
      </c>
      <c r="D34" s="11" t="n">
        <v>446.8</v>
      </c>
      <c r="E34" s="11" t="n">
        <v>1200</v>
      </c>
      <c r="F34" s="22" t="n">
        <v>0.536</v>
      </c>
      <c r="G34" s="32" t="inlineStr">
        <is>
          <t>Recyclable Scrap</t>
        </is>
      </c>
    </row>
    <row r="35">
      <c r="A35" s="26" t="inlineStr">
        <is>
          <t>Sheet #16</t>
        </is>
      </c>
      <c r="B35" s="16" t="n">
        <v>0</v>
      </c>
      <c r="C35" s="16" t="n">
        <v>980.1</v>
      </c>
      <c r="D35" s="16" t="n">
        <v>1953.2</v>
      </c>
      <c r="E35" s="16" t="n">
        <v>219.9</v>
      </c>
      <c r="F35" s="25" t="n">
        <v>0.43</v>
      </c>
      <c r="G35" s="33" t="inlineStr">
        <is>
          <t>Recyclable Scrap</t>
        </is>
      </c>
    </row>
    <row r="36">
      <c r="A36" s="23" t="inlineStr">
        <is>
          <t>Sheet #17</t>
        </is>
      </c>
      <c r="B36" s="11" t="n">
        <v>1953.2</v>
      </c>
      <c r="C36" s="11" t="n">
        <v>0</v>
      </c>
      <c r="D36" s="11" t="n">
        <v>446.8</v>
      </c>
      <c r="E36" s="11" t="n">
        <v>1200</v>
      </c>
      <c r="F36" s="22" t="n">
        <v>0.536</v>
      </c>
      <c r="G36" s="32" t="inlineStr">
        <is>
          <t>Recyclable Scrap</t>
        </is>
      </c>
    </row>
    <row r="37">
      <c r="A37" s="26" t="inlineStr">
        <is>
          <t>Sheet #17</t>
        </is>
      </c>
      <c r="B37" s="16" t="n">
        <v>0</v>
      </c>
      <c r="C37" s="16" t="n">
        <v>980.1</v>
      </c>
      <c r="D37" s="16" t="n">
        <v>1953.2</v>
      </c>
      <c r="E37" s="16" t="n">
        <v>219.9</v>
      </c>
      <c r="F37" s="25" t="n">
        <v>0.43</v>
      </c>
      <c r="G37" s="33" t="inlineStr">
        <is>
          <t>Recyclable Scrap</t>
        </is>
      </c>
    </row>
    <row r="38">
      <c r="A38" s="23" t="inlineStr">
        <is>
          <t>Sheet #18</t>
        </is>
      </c>
      <c r="B38" s="11" t="n">
        <v>1865</v>
      </c>
      <c r="C38" s="11" t="n">
        <v>0</v>
      </c>
      <c r="D38" s="11" t="n">
        <v>535</v>
      </c>
      <c r="E38" s="11" t="n">
        <v>1200</v>
      </c>
      <c r="F38" s="22" t="n">
        <v>0.642</v>
      </c>
      <c r="G38" s="34" t="inlineStr">
        <is>
          <t>Usable Stock Inventory</t>
        </is>
      </c>
    </row>
    <row r="39">
      <c r="A39" s="26" t="inlineStr">
        <is>
          <t>Sheet #18</t>
        </is>
      </c>
      <c r="B39" s="16" t="n">
        <v>0</v>
      </c>
      <c r="C39" s="16" t="n">
        <v>980.1</v>
      </c>
      <c r="D39" s="16" t="n">
        <v>1865</v>
      </c>
      <c r="E39" s="16" t="n">
        <v>219.9</v>
      </c>
      <c r="F39" s="25" t="n">
        <v>0.41</v>
      </c>
      <c r="G39" s="33" t="inlineStr">
        <is>
          <t>Recyclable Scrap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2026-10-21T12:58:12Z</dcterms:created>
  <dcterms:modified xsi:type="dcterms:W3CDTF">2026-10-21T12:58:12Z</dcterms:modified>
</cp:coreProperties>
</file>