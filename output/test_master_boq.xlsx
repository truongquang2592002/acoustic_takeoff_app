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Detailed BOQ" sheetId="2" state="visible" r:id="rId2"/>
    <sheet name="Nesting by 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#,##0.0"/>
    <numFmt numFmtId="167" formatCode="#,##0.000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i val="1"/>
      <color rgb="0064748B"/>
      <sz val="8.5"/>
    </font>
    <font>
      <name val="Segoe UI"/>
      <b val="1"/>
      <color rgb="000F172A"/>
      <sz val="11"/>
    </font>
    <font>
      <name val="Segoe UI"/>
      <b val="1"/>
      <color rgb="001E293B"/>
      <sz val="9.5"/>
    </font>
    <font>
      <name val="Segoe UI"/>
      <color rgb="00334155"/>
      <sz val="9"/>
    </font>
    <font>
      <name val="Segoe UI"/>
      <b val="1"/>
      <color rgb="000369A1"/>
      <sz val="16"/>
    </font>
    <font>
      <name val="Segoe UI"/>
      <b val="1"/>
      <color rgb="00FFFFFF"/>
      <sz val="9.5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0284C7"/>
        <bgColor rgb="000284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applyAlignment="1" pivotButton="0" quotePrefix="0" xfId="0">
      <alignment horizontal="right" vertical="center"/>
    </xf>
    <xf numFmtId="4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 vertical="center"/>
    </xf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5" borderId="2" pivotButton="0" quotePrefix="0" xfId="0"/>
    <xf numFmtId="4" fontId="4" fillId="5" borderId="2" pivotButton="0" quotePrefix="0" xfId="0"/>
    <xf numFmtId="164" fontId="4" fillId="5" borderId="2" pivotButton="0" quotePrefix="0" xfId="0"/>
    <xf numFmtId="0" fontId="0" fillId="5" borderId="2" applyAlignment="1" pivotButton="0" quotePrefix="0" xfId="0">
      <alignment horizontal="center" vertical="center"/>
    </xf>
    <xf numFmtId="165" fontId="4" fillId="5" borderId="2" pivotButton="0" quotePrefix="0" xfId="0"/>
    <xf numFmtId="0" fontId="7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0" fillId="4" borderId="1" pivotButton="0" quotePrefix="0" xfId="0"/>
    <xf numFmtId="167" fontId="0" fillId="4" borderId="1" pivotButton="0" quotePrefix="0" xfId="0"/>
    <xf numFmtId="167" fontId="4" fillId="5" borderId="2" pivotButton="0" quotePrefix="0" xfId="0"/>
    <xf numFmtId="166" fontId="4" fillId="5" borderId="2" pivotButton="0" quotePrefix="0" xfId="0"/>
    <xf numFmtId="0" fontId="8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8.5" customWidth="1" min="2" max="2"/>
    <col width="49.5" customWidth="1" min="3" max="3"/>
    <col width="54.5" customWidth="1" min="4" max="4"/>
    <col width="26.5" customWidth="1" min="5" max="5"/>
    <col width="24.5" customWidth="1" min="6" max="6"/>
    <col width="23.5" customWidth="1" min="7" max="7"/>
    <col width="21.5" customWidth="1" min="8" max="8"/>
    <col width="26.5" customWidth="1" min="9" max="9"/>
    <col width="25.5" customWidth="1" min="10" max="10"/>
  </cols>
  <sheetData>
    <row r="1"/>
    <row r="2">
      <c r="B2" s="1" t="inlineStr">
        <is>
          <t>MASTER BILL OF QUANTITIES (BOQ) &amp; ACOUSTIC TAKEOFF SUMMARY</t>
        </is>
      </c>
    </row>
    <row r="3">
      <c r="B3" s="2" t="inlineStr">
        <is>
          <t>Generated by Antigravity AEC Batch Takeoff &amp; Global Nesting Engine | 2026-10-22 07:33</t>
        </is>
      </c>
    </row>
    <row r="4"/>
    <row r="5">
      <c r="B5" s="3" t="inlineStr">
        <is>
          <t>PROJECT SPECIFICATIONS</t>
        </is>
      </c>
      <c r="E5" s="4" t="inlineStr">
        <is>
          <t>TOTAL NET ACOUSTIC AREA
62.33 m²</t>
        </is>
      </c>
      <c r="F5" s="5" t="n"/>
      <c r="G5" s="4" t="inlineStr">
        <is>
          <t>TOTAL PANELS / TILES
39 pcs</t>
        </is>
      </c>
      <c r="H5" s="5" t="n"/>
      <c r="I5" s="4" t="inlineStr">
        <is>
          <t>TOTAL STOCK SHEETS REQ.
27 sheets</t>
        </is>
      </c>
      <c r="J5" s="5" t="n"/>
    </row>
    <row r="6">
      <c r="B6" s="6" t="inlineStr">
        <is>
          <t>Project Name:</t>
        </is>
      </c>
      <c r="C6" s="7" t="inlineStr">
        <is>
          <t>Acoustic Takeoff Master Project</t>
        </is>
      </c>
      <c r="E6" s="5" t="n"/>
      <c r="F6" s="5" t="n"/>
      <c r="G6" s="5" t="n"/>
      <c r="H6" s="5" t="n"/>
      <c r="I6" s="5" t="n"/>
      <c r="J6" s="5" t="n"/>
    </row>
    <row r="7">
      <c r="B7" s="6" t="inlineStr">
        <is>
          <t>Document / Package:</t>
        </is>
      </c>
      <c r="C7" s="7" t="inlineStr">
        <is>
          <t>Full Project Takeoff</t>
        </is>
      </c>
      <c r="E7" s="5" t="n"/>
      <c r="F7" s="5" t="n"/>
      <c r="G7" s="5" t="n"/>
      <c r="H7" s="5" t="n"/>
      <c r="I7" s="5" t="n"/>
      <c r="J7" s="5" t="n"/>
    </row>
    <row r="8">
      <c r="B8" s="6" t="inlineStr">
        <is>
          <t>Total Pages Processed:</t>
        </is>
      </c>
      <c r="C8" s="7" t="inlineStr">
        <is>
          <t>2 Drawing Pages with Acoustic Scope</t>
        </is>
      </c>
    </row>
    <row r="9">
      <c r="B9" s="6" t="inlineStr">
        <is>
          <t>Drawing Scale Preset:</t>
        </is>
      </c>
      <c r="C9" s="7" t="inlineStr">
        <is>
          <t>1:50</t>
        </is>
      </c>
      <c r="E9" s="4" t="inlineStr">
        <is>
          <t>OVERALL MATERIAL YIELD
50.0%</t>
        </is>
      </c>
      <c r="F9" s="5" t="n"/>
      <c r="G9" s="4" t="inlineStr">
        <is>
          <t>SCRAP / OFFCUT WASTE
50.0%</t>
        </is>
      </c>
      <c r="H9" s="5" t="n"/>
      <c r="I9" s="4" t="inlineStr">
        <is>
          <t>ESTIMATED SHEET COST
$2,080.00</t>
        </is>
      </c>
      <c r="J9" s="5" t="n"/>
    </row>
    <row r="10">
      <c r="B10" s="6" t="inlineStr">
        <is>
          <t>Fabrication Units:</t>
        </is>
      </c>
      <c r="C10" s="7" t="inlineStr">
        <is>
          <t>MM</t>
        </is>
      </c>
      <c r="E10" s="5" t="n"/>
      <c r="F10" s="5" t="n"/>
      <c r="G10" s="5" t="n"/>
      <c r="H10" s="5" t="n"/>
      <c r="I10" s="5" t="n"/>
      <c r="J10" s="5" t="n"/>
    </row>
    <row r="11">
      <c r="B11" s="6" t="inlineStr">
        <is>
          <t>Report Export Date:</t>
        </is>
      </c>
      <c r="C11" s="7" t="inlineStr">
        <is>
          <t>2026-10-22</t>
        </is>
      </c>
      <c r="E11" s="5" t="n"/>
      <c r="F11" s="5" t="n"/>
      <c r="G11" s="5" t="n"/>
      <c r="H11" s="5" t="n"/>
      <c r="I11" s="5" t="n"/>
      <c r="J11" s="5" t="n"/>
    </row>
    <row r="12">
      <c r="B12" s="6" t="inlineStr">
        <is>
          <t>Global Nesting Scope:</t>
        </is>
      </c>
      <c r="C12" s="7" t="inlineStr">
        <is>
          <t>Independent Project-Wide Material Optimization</t>
        </is>
      </c>
    </row>
    <row r="13"/>
    <row r="14">
      <c r="B14" s="3" t="inlineStr">
        <is>
          <t>1. ACOUSTIC TAKEOFF &amp; STOCK REQUIREMENTS (GROUPED BY MATERIAL TYPE)</t>
        </is>
      </c>
    </row>
    <row r="15"/>
    <row r="16">
      <c r="B16" s="8" t="inlineStr">
        <is>
          <t>Material Specification</t>
        </is>
      </c>
      <c r="C16" s="8" t="inlineStr">
        <is>
          <t>Piece Count</t>
        </is>
      </c>
      <c r="D16" s="8" t="inlineStr">
        <is>
          <t>Net Area (m²)</t>
        </is>
      </c>
      <c r="E16" s="8" t="inlineStr">
        <is>
          <t>Stock Sheets Req.</t>
        </is>
      </c>
      <c r="F16" s="8" t="inlineStr">
        <is>
          <t>Total Stock Area (m²)</t>
        </is>
      </c>
      <c r="G16" s="8" t="inlineStr">
        <is>
          <t>Yield %</t>
        </is>
      </c>
      <c r="H16" s="8" t="inlineStr">
        <is>
          <t>Waste %</t>
        </is>
      </c>
      <c r="I16" s="8" t="inlineStr">
        <is>
          <t>Sheet Rate ($)</t>
        </is>
      </c>
      <c r="J16" s="8" t="inlineStr">
        <is>
          <t>Est. Material Cost ($)</t>
        </is>
      </c>
    </row>
    <row r="17">
      <c r="B17" s="9" t="inlineStr">
        <is>
          <t>Fabric Wrapped 25mm</t>
        </is>
      </c>
      <c r="C17" s="10" t="n">
        <v>4</v>
      </c>
      <c r="D17" s="11" t="n">
        <v>8.494</v>
      </c>
      <c r="E17" s="10" t="n">
        <v>4</v>
      </c>
      <c r="F17" s="11" t="n">
        <v>11.52</v>
      </c>
      <c r="G17" s="12" t="n">
        <v>0.7373263888888889</v>
      </c>
      <c r="H17" s="12" t="n">
        <v>0.2626736111111111</v>
      </c>
      <c r="I17" s="13" t="n">
        <v>87.75</v>
      </c>
      <c r="J17" s="13" t="n">
        <v>351</v>
      </c>
    </row>
    <row r="18">
      <c r="B18" s="14" t="inlineStr">
        <is>
          <t>Polyester 9mm</t>
        </is>
      </c>
      <c r="C18" s="15" t="n">
        <v>20</v>
      </c>
      <c r="D18" s="16" t="n">
        <v>23.008</v>
      </c>
      <c r="E18" s="15" t="n">
        <v>17</v>
      </c>
      <c r="F18" s="16" t="n">
        <v>48.96</v>
      </c>
      <c r="G18" s="17" t="n">
        <v>0.4699407679738563</v>
      </c>
      <c r="H18" s="17" t="n">
        <v>0.5300592320261437</v>
      </c>
      <c r="I18" s="18" t="n">
        <v>65</v>
      </c>
      <c r="J18" s="18" t="n">
        <v>1105</v>
      </c>
    </row>
    <row r="19">
      <c r="B19" s="9" t="inlineStr">
        <is>
          <t>Wood Slat Panel</t>
        </is>
      </c>
      <c r="C19" s="10" t="n">
        <v>15</v>
      </c>
      <c r="D19" s="11" t="n">
        <v>30.827</v>
      </c>
      <c r="E19" s="10" t="n">
        <v>6</v>
      </c>
      <c r="F19" s="11" t="n">
        <v>17.28</v>
      </c>
      <c r="G19" s="12" t="n">
        <v>1.78396412037037</v>
      </c>
      <c r="H19" s="12" t="n">
        <v>0</v>
      </c>
      <c r="I19" s="13" t="n">
        <v>104</v>
      </c>
      <c r="J19" s="13" t="n">
        <v>624</v>
      </c>
    </row>
    <row r="20">
      <c r="B20" s="19" t="inlineStr">
        <is>
          <t>TOTAL PROJECT SCOPE</t>
        </is>
      </c>
      <c r="C20" s="19">
        <f>SUM(C17:C19)</f>
        <v/>
      </c>
      <c r="D20" s="20">
        <f>SUM(D17:D19)</f>
        <v/>
      </c>
      <c r="E20" s="19">
        <f>SUM(E17:E19)</f>
        <v/>
      </c>
      <c r="F20" s="20">
        <f>SUM(F17:F19)</f>
        <v/>
      </c>
      <c r="G20" s="21">
        <f>D20/F20</f>
        <v/>
      </c>
      <c r="H20" s="21">
        <f>1-G20</f>
        <v/>
      </c>
      <c r="I20" s="22" t="inlineStr">
        <is>
          <t>-</t>
        </is>
      </c>
      <c r="J20" s="23">
        <f>SUM(J17:J19)</f>
        <v/>
      </c>
    </row>
    <row r="21"/>
    <row r="22"/>
    <row r="23">
      <c r="B23" s="3" t="inlineStr">
        <is>
          <t>2. PAGE-BY-PAGE DRAWING TAKEOFF SUMMARY</t>
        </is>
      </c>
    </row>
    <row r="24"/>
    <row r="25">
      <c r="B25" s="24" t="inlineStr">
        <is>
          <t>Page No.</t>
        </is>
      </c>
      <c r="C25" s="24" t="inlineStr">
        <is>
          <t>Drawing / Room Name</t>
        </is>
      </c>
      <c r="D25" s="24" t="inlineStr">
        <is>
          <t>Materials Present</t>
        </is>
      </c>
      <c r="E25" s="24" t="inlineStr">
        <is>
          <t>Panel Count</t>
        </is>
      </c>
      <c r="F25" s="24" t="inlineStr">
        <is>
          <t>Gross Area (m²)</t>
        </is>
      </c>
      <c r="G25" s="24" t="inlineStr">
        <is>
          <t>Cutout Area (m²)</t>
        </is>
      </c>
      <c r="H25" s="24" t="inlineStr">
        <is>
          <t>Net Area (m²)</t>
        </is>
      </c>
      <c r="I25" s="24" t="inlineStr">
        <is>
          <t>% of Project Net Area</t>
        </is>
      </c>
    </row>
    <row r="26">
      <c r="B26" s="25" t="inlineStr">
        <is>
          <t>Page 1</t>
        </is>
      </c>
      <c r="C26" s="14" t="inlineStr">
        <is>
          <t>LEVEL 4 ACOUSTIC WALL &amp; CEILING FITOUT</t>
        </is>
      </c>
      <c r="D26" s="26" t="inlineStr">
        <is>
          <t>Polyester 9mm, Wood Slat Panel</t>
        </is>
      </c>
      <c r="E26" s="15" t="n">
        <v>23</v>
      </c>
      <c r="F26" s="16" t="n">
        <v>35.099</v>
      </c>
      <c r="G26" s="16" t="n">
        <v>0.5600000000000001</v>
      </c>
      <c r="H26" s="16" t="n">
        <v>34.539</v>
      </c>
      <c r="I26" s="17" t="n">
        <v>0.554141731778145</v>
      </c>
    </row>
    <row r="27">
      <c r="B27" s="27" t="inlineStr">
        <is>
          <t>Page 3</t>
        </is>
      </c>
      <c r="C27" s="9" t="inlineStr">
        <is>
          <t>LEVEL 5 AUDITORIUM ACOUSTIC TREATMENT</t>
        </is>
      </c>
      <c r="D27" s="28" t="inlineStr">
        <is>
          <t>Fabric Wrapped 25mm, Polyester 9mm, Wood Slat Panel</t>
        </is>
      </c>
      <c r="E27" s="10" t="n">
        <v>16</v>
      </c>
      <c r="F27" s="11" t="n">
        <v>28.562</v>
      </c>
      <c r="G27" s="11" t="n">
        <v>0.772</v>
      </c>
      <c r="H27" s="11" t="n">
        <v>27.79</v>
      </c>
      <c r="I27" s="12" t="n">
        <v>0.4458614770010749</v>
      </c>
    </row>
    <row r="28">
      <c r="B28" s="19" t="inlineStr">
        <is>
          <t>TOTALS</t>
        </is>
      </c>
      <c r="C28" s="22" t="inlineStr">
        <is>
          <t>-</t>
        </is>
      </c>
      <c r="D28" s="22" t="inlineStr">
        <is>
          <t>-</t>
        </is>
      </c>
      <c r="E28" s="19">
        <f>SUM(E26:E27)</f>
        <v/>
      </c>
      <c r="F28" s="20">
        <f>SUM(F26:F27)</f>
        <v/>
      </c>
      <c r="G28" s="20">
        <f>SUM(G26:G27)</f>
        <v/>
      </c>
      <c r="H28" s="20">
        <f>SUM(H26:H27)</f>
        <v/>
      </c>
      <c r="I28" s="19" t="inlineStr">
        <is>
          <t>100.0%</t>
        </is>
      </c>
    </row>
  </sheetData>
  <mergeCells count="6">
    <mergeCell ref="G5:H7"/>
    <mergeCell ref="E5:F7"/>
    <mergeCell ref="E9:F11"/>
    <mergeCell ref="I9:J11"/>
    <mergeCell ref="I5:J7"/>
    <mergeCell ref="G9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63.5" customWidth="1" min="1" max="1"/>
    <col width="41.5" customWidth="1" min="2" max="2"/>
    <col width="22.5" customWidth="1" min="3" max="3"/>
    <col width="13.5" customWidth="1" min="4" max="4"/>
    <col width="18.5" customWidth="1" min="5" max="5"/>
    <col width="17.5" customWidth="1" min="6" max="6"/>
    <col width="17.5" customWidth="1" min="7" max="7"/>
    <col width="16.5" customWidth="1" min="8" max="8"/>
    <col width="19.5" customWidth="1" min="9" max="9"/>
    <col width="18.5" customWidth="1" min="10" max="10"/>
    <col width="16.5" customWidth="1" min="11" max="11"/>
    <col width="17.5" customWidth="1" min="12" max="12"/>
    <col width="30.5" customWidth="1" min="13" max="13"/>
    <col width="12.5" customWidth="1" min="14" max="14"/>
  </cols>
  <sheetData>
    <row r="1">
      <c r="A1" s="3" t="inlineStr">
        <is>
          <t>DETAILED ITEM-BY-ITEM ACOUSTIC TAKEOFF SCHEDULE (MASTER BOQ)</t>
        </is>
      </c>
    </row>
    <row r="2"/>
    <row r="3">
      <c r="A3" s="8" t="inlineStr">
        <is>
          <t>Page No.</t>
        </is>
      </c>
      <c r="B3" s="8" t="inlineStr">
        <is>
          <t>Drawing/Room Name</t>
        </is>
      </c>
      <c r="C3" s="8" t="inlineStr">
        <is>
          <t>Material Type</t>
        </is>
      </c>
      <c r="D3" s="8" t="inlineStr">
        <is>
          <t>Panel ID</t>
        </is>
      </c>
      <c r="E3" s="8" t="inlineStr">
        <is>
          <t>Cut Length (mm)</t>
        </is>
      </c>
      <c r="F3" s="8" t="inlineStr">
        <is>
          <t>Cut Width (mm)</t>
        </is>
      </c>
      <c r="G3" s="8" t="inlineStr">
        <is>
          <t>L × W Format</t>
        </is>
      </c>
      <c r="H3" s="8" t="inlineStr">
        <is>
          <t>Cutouts Count</t>
        </is>
      </c>
      <c r="I3" s="8" t="inlineStr">
        <is>
          <t>Cutout Area (m²)</t>
        </is>
      </c>
      <c r="J3" s="8" t="inlineStr">
        <is>
          <t>Gross Area (m²)</t>
        </is>
      </c>
      <c r="K3" s="8" t="inlineStr">
        <is>
          <t>Net Area (m²)</t>
        </is>
      </c>
      <c r="L3" s="8" t="inlineStr">
        <is>
          <t>Perimeter (mm)</t>
        </is>
      </c>
      <c r="M3" s="8" t="inlineStr">
        <is>
          <t>Category</t>
        </is>
      </c>
      <c r="N3" s="8" t="inlineStr">
        <is>
          <t>CAD Layer</t>
        </is>
      </c>
    </row>
    <row r="4">
      <c r="A4" s="25" t="inlineStr">
        <is>
          <t>Page 1</t>
        </is>
      </c>
      <c r="B4" s="26" t="inlineStr">
        <is>
          <t>LEVEL 4 ACOUSTIC WALL &amp; CEILING FITOUT</t>
        </is>
      </c>
      <c r="C4" s="14" t="inlineStr">
        <is>
          <t>Polyester 9mm</t>
        </is>
      </c>
      <c r="D4" s="14" t="inlineStr">
        <is>
          <t>P1-POLY-1</t>
        </is>
      </c>
      <c r="E4" s="29" t="n">
        <v>264.6</v>
      </c>
      <c r="F4" s="29" t="n">
        <v>211.7</v>
      </c>
      <c r="G4" s="25" t="inlineStr">
        <is>
          <t>265 × 212 mm</t>
        </is>
      </c>
      <c r="H4" s="25" t="n">
        <v>0</v>
      </c>
      <c r="I4" s="30" t="n">
        <v>0</v>
      </c>
      <c r="J4" s="30" t="n">
        <v>0.056</v>
      </c>
      <c r="K4" s="30" t="n">
        <v>0.056</v>
      </c>
      <c r="L4" s="29" t="n">
        <v>952.5</v>
      </c>
      <c r="M4" s="26" t="inlineStr">
        <is>
          <t>Standard Wall Panel</t>
        </is>
      </c>
      <c r="N4" s="26" t="inlineStr">
        <is>
          <t>Default</t>
        </is>
      </c>
    </row>
    <row r="5">
      <c r="A5" s="27" t="inlineStr">
        <is>
          <t>Page 1</t>
        </is>
      </c>
      <c r="B5" s="28" t="inlineStr">
        <is>
          <t>LEVEL 4 ACOUSTIC WALL &amp; CEILING FITOUT</t>
        </is>
      </c>
      <c r="C5" s="9" t="inlineStr">
        <is>
          <t>Polyester 9mm</t>
        </is>
      </c>
      <c r="D5" s="9" t="inlineStr">
        <is>
          <t>P1-POLY-2</t>
        </is>
      </c>
      <c r="E5" s="31" t="n">
        <v>1234.7</v>
      </c>
      <c r="F5" s="31" t="n">
        <v>793.8</v>
      </c>
      <c r="G5" s="27" t="inlineStr">
        <is>
          <t>1235 × 794 mm</t>
        </is>
      </c>
      <c r="H5" s="27" t="n">
        <v>0</v>
      </c>
      <c r="I5" s="32" t="n">
        <v>0</v>
      </c>
      <c r="J5" s="32" t="n">
        <v>0.9801</v>
      </c>
      <c r="K5" s="32" t="n">
        <v>0.9801</v>
      </c>
      <c r="L5" s="31" t="n">
        <v>4056.95</v>
      </c>
      <c r="M5" s="28" t="inlineStr">
        <is>
          <t>Standard Wall Panel</t>
        </is>
      </c>
      <c r="N5" s="28" t="inlineStr">
        <is>
          <t>Default</t>
        </is>
      </c>
    </row>
    <row r="6">
      <c r="A6" s="25" t="inlineStr">
        <is>
          <t>Page 1</t>
        </is>
      </c>
      <c r="B6" s="26" t="inlineStr">
        <is>
          <t>LEVEL 4 ACOUSTIC WALL &amp; CEILING FITOUT</t>
        </is>
      </c>
      <c r="C6" s="14" t="inlineStr">
        <is>
          <t>Polyester 9mm</t>
        </is>
      </c>
      <c r="D6" s="14" t="inlineStr">
        <is>
          <t>P1-POLY-3</t>
        </is>
      </c>
      <c r="E6" s="29" t="n">
        <v>1234.7</v>
      </c>
      <c r="F6" s="29" t="n">
        <v>793.8</v>
      </c>
      <c r="G6" s="25" t="inlineStr">
        <is>
          <t>1235 × 794 mm</t>
        </is>
      </c>
      <c r="H6" s="25" t="n">
        <v>0</v>
      </c>
      <c r="I6" s="30" t="n">
        <v>0</v>
      </c>
      <c r="J6" s="30" t="n">
        <v>0.9801</v>
      </c>
      <c r="K6" s="30" t="n">
        <v>0.9801</v>
      </c>
      <c r="L6" s="29" t="n">
        <v>4056.95</v>
      </c>
      <c r="M6" s="26" t="inlineStr">
        <is>
          <t>Standard Wall Panel</t>
        </is>
      </c>
      <c r="N6" s="26" t="inlineStr">
        <is>
          <t>Default</t>
        </is>
      </c>
    </row>
    <row r="7">
      <c r="A7" s="27" t="inlineStr">
        <is>
          <t>Page 1</t>
        </is>
      </c>
      <c r="B7" s="28" t="inlineStr">
        <is>
          <t>LEVEL 4 ACOUSTIC WALL &amp; CEILING FITOUT</t>
        </is>
      </c>
      <c r="C7" s="9" t="inlineStr">
        <is>
          <t>Polyester 9mm</t>
        </is>
      </c>
      <c r="D7" s="9" t="inlineStr">
        <is>
          <t>P1-POLY-4</t>
        </is>
      </c>
      <c r="E7" s="31" t="n">
        <v>1234.7</v>
      </c>
      <c r="F7" s="31" t="n">
        <v>793.8</v>
      </c>
      <c r="G7" s="27" t="inlineStr">
        <is>
          <t>1235 × 794 mm</t>
        </is>
      </c>
      <c r="H7" s="27" t="n">
        <v>0</v>
      </c>
      <c r="I7" s="32" t="n">
        <v>0</v>
      </c>
      <c r="J7" s="32" t="n">
        <v>0.9801</v>
      </c>
      <c r="K7" s="32" t="n">
        <v>0.9801</v>
      </c>
      <c r="L7" s="31" t="n">
        <v>4056.95</v>
      </c>
      <c r="M7" s="28" t="inlineStr">
        <is>
          <t>Standard Wall Panel</t>
        </is>
      </c>
      <c r="N7" s="28" t="inlineStr">
        <is>
          <t>Default</t>
        </is>
      </c>
    </row>
    <row r="8">
      <c r="A8" s="25" t="inlineStr">
        <is>
          <t>Page 1</t>
        </is>
      </c>
      <c r="B8" s="26" t="inlineStr">
        <is>
          <t>LEVEL 4 ACOUSTIC WALL &amp; CEILING FITOUT</t>
        </is>
      </c>
      <c r="C8" s="14" t="inlineStr">
        <is>
          <t>Polyester 9mm</t>
        </is>
      </c>
      <c r="D8" s="14" t="inlineStr">
        <is>
          <t>P1-POLY-5</t>
        </is>
      </c>
      <c r="E8" s="29" t="n">
        <v>1234.7</v>
      </c>
      <c r="F8" s="29" t="n">
        <v>793.8</v>
      </c>
      <c r="G8" s="25" t="inlineStr">
        <is>
          <t>1235 × 794 mm</t>
        </is>
      </c>
      <c r="H8" s="25" t="n">
        <v>0</v>
      </c>
      <c r="I8" s="30" t="n">
        <v>0</v>
      </c>
      <c r="J8" s="30" t="n">
        <v>0.9801</v>
      </c>
      <c r="K8" s="30" t="n">
        <v>0.9801</v>
      </c>
      <c r="L8" s="29" t="n">
        <v>4056.95</v>
      </c>
      <c r="M8" s="26" t="inlineStr">
        <is>
          <t>Standard Wall Panel</t>
        </is>
      </c>
      <c r="N8" s="26" t="inlineStr">
        <is>
          <t>Default</t>
        </is>
      </c>
    </row>
    <row r="9">
      <c r="A9" s="27" t="inlineStr">
        <is>
          <t>Page 1</t>
        </is>
      </c>
      <c r="B9" s="28" t="inlineStr">
        <is>
          <t>LEVEL 4 ACOUSTIC WALL &amp; CEILING FITOUT</t>
        </is>
      </c>
      <c r="C9" s="9" t="inlineStr">
        <is>
          <t>Polyester 9mm</t>
        </is>
      </c>
      <c r="D9" s="9" t="inlineStr">
        <is>
          <t>P1-POLY-6</t>
        </is>
      </c>
      <c r="E9" s="31" t="n">
        <v>1499.3</v>
      </c>
      <c r="F9" s="31" t="n">
        <v>881.9</v>
      </c>
      <c r="G9" s="27" t="inlineStr">
        <is>
          <t>1499 × 882 mm</t>
        </is>
      </c>
      <c r="H9" s="27" t="n">
        <v>0</v>
      </c>
      <c r="I9" s="32" t="n">
        <v>0</v>
      </c>
      <c r="J9" s="32" t="n">
        <v>1.3223</v>
      </c>
      <c r="K9" s="32" t="n">
        <v>1.3223</v>
      </c>
      <c r="L9" s="31" t="n">
        <v>4762.5</v>
      </c>
      <c r="M9" s="28" t="inlineStr">
        <is>
          <t>Standard Wall Panel</t>
        </is>
      </c>
      <c r="N9" s="28" t="inlineStr">
        <is>
          <t>Default</t>
        </is>
      </c>
    </row>
    <row r="10">
      <c r="A10" s="25" t="inlineStr">
        <is>
          <t>Page 1</t>
        </is>
      </c>
      <c r="B10" s="26" t="inlineStr">
        <is>
          <t>LEVEL 4 ACOUSTIC WALL &amp; CEILING FITOUT</t>
        </is>
      </c>
      <c r="C10" s="14" t="inlineStr">
        <is>
          <t>Polyester 9mm</t>
        </is>
      </c>
      <c r="D10" s="14" t="inlineStr">
        <is>
          <t>P1-POLY-7</t>
        </is>
      </c>
      <c r="E10" s="29" t="n">
        <v>1499.3</v>
      </c>
      <c r="F10" s="29" t="n">
        <v>881.9</v>
      </c>
      <c r="G10" s="25" t="inlineStr">
        <is>
          <t>1499 × 882 mm</t>
        </is>
      </c>
      <c r="H10" s="25" t="n">
        <v>0</v>
      </c>
      <c r="I10" s="30" t="n">
        <v>0</v>
      </c>
      <c r="J10" s="30" t="n">
        <v>1.3223</v>
      </c>
      <c r="K10" s="30" t="n">
        <v>1.3223</v>
      </c>
      <c r="L10" s="29" t="n">
        <v>4762.5</v>
      </c>
      <c r="M10" s="26" t="inlineStr">
        <is>
          <t>Standard Wall Panel</t>
        </is>
      </c>
      <c r="N10" s="26" t="inlineStr">
        <is>
          <t>Default</t>
        </is>
      </c>
    </row>
    <row r="11">
      <c r="A11" s="27" t="inlineStr">
        <is>
          <t>Page 1</t>
        </is>
      </c>
      <c r="B11" s="28" t="inlineStr">
        <is>
          <t>LEVEL 4 ACOUSTIC WALL &amp; CEILING FITOUT</t>
        </is>
      </c>
      <c r="C11" s="9" t="inlineStr">
        <is>
          <t>Polyester 9mm</t>
        </is>
      </c>
      <c r="D11" s="9" t="inlineStr">
        <is>
          <t>P1-POLY-8</t>
        </is>
      </c>
      <c r="E11" s="31" t="n">
        <v>1499.3</v>
      </c>
      <c r="F11" s="31" t="n">
        <v>881.9</v>
      </c>
      <c r="G11" s="27" t="inlineStr">
        <is>
          <t>1499 × 882 mm</t>
        </is>
      </c>
      <c r="H11" s="27" t="n">
        <v>0</v>
      </c>
      <c r="I11" s="32" t="n">
        <v>0</v>
      </c>
      <c r="J11" s="32" t="n">
        <v>1.3223</v>
      </c>
      <c r="K11" s="32" t="n">
        <v>1.3223</v>
      </c>
      <c r="L11" s="31" t="n">
        <v>4762.5</v>
      </c>
      <c r="M11" s="28" t="inlineStr">
        <is>
          <t>Standard Wall Panel</t>
        </is>
      </c>
      <c r="N11" s="28" t="inlineStr">
        <is>
          <t>Default</t>
        </is>
      </c>
    </row>
    <row r="12">
      <c r="A12" s="25" t="inlineStr">
        <is>
          <t>Page 1</t>
        </is>
      </c>
      <c r="B12" s="26" t="inlineStr">
        <is>
          <t>LEVEL 4 ACOUSTIC WALL &amp; CEILING FITOUT</t>
        </is>
      </c>
      <c r="C12" s="14" t="inlineStr">
        <is>
          <t>Polyester 9mm</t>
        </is>
      </c>
      <c r="D12" s="14" t="inlineStr">
        <is>
          <t>P1-POLY-9</t>
        </is>
      </c>
      <c r="E12" s="29" t="n">
        <v>2293.1</v>
      </c>
      <c r="F12" s="29" t="n">
        <v>705.6</v>
      </c>
      <c r="G12" s="25" t="inlineStr">
        <is>
          <t>2293 × 706 mm</t>
        </is>
      </c>
      <c r="H12" s="25" t="n">
        <v>0</v>
      </c>
      <c r="I12" s="30" t="n">
        <v>0</v>
      </c>
      <c r="J12" s="30" t="n">
        <v>1.6179</v>
      </c>
      <c r="K12" s="30" t="n">
        <v>1.6179</v>
      </c>
      <c r="L12" s="29" t="n">
        <v>5997.23</v>
      </c>
      <c r="M12" s="26" t="inlineStr">
        <is>
          <t>Ceiling Cloud / Large Panel</t>
        </is>
      </c>
      <c r="N12" s="26" t="inlineStr">
        <is>
          <t>Default</t>
        </is>
      </c>
    </row>
    <row r="13">
      <c r="A13" s="27" t="inlineStr">
        <is>
          <t>Page 1</t>
        </is>
      </c>
      <c r="B13" s="28" t="inlineStr">
        <is>
          <t>LEVEL 4 ACOUSTIC WALL &amp; CEILING FITOUT</t>
        </is>
      </c>
      <c r="C13" s="9" t="inlineStr">
        <is>
          <t>Polyester 9mm</t>
        </is>
      </c>
      <c r="D13" s="9" t="inlineStr">
        <is>
          <t>P1-POLY-10</t>
        </is>
      </c>
      <c r="E13" s="31" t="n">
        <v>2116.7</v>
      </c>
      <c r="F13" s="31" t="n">
        <v>705.6</v>
      </c>
      <c r="G13" s="27" t="inlineStr">
        <is>
          <t>2117 × 706 mm</t>
        </is>
      </c>
      <c r="H13" s="27" t="n">
        <v>0</v>
      </c>
      <c r="I13" s="32" t="n">
        <v>0</v>
      </c>
      <c r="J13" s="32" t="n">
        <v>1.4934</v>
      </c>
      <c r="K13" s="32" t="n">
        <v>1.4934</v>
      </c>
      <c r="L13" s="31" t="n">
        <v>5644.45</v>
      </c>
      <c r="M13" s="28" t="inlineStr">
        <is>
          <t>Ceiling Cloud / Large Panel</t>
        </is>
      </c>
      <c r="N13" s="28" t="inlineStr">
        <is>
          <t>Default</t>
        </is>
      </c>
    </row>
    <row r="14">
      <c r="A14" s="25" t="inlineStr">
        <is>
          <t>Page 1</t>
        </is>
      </c>
      <c r="B14" s="26" t="inlineStr">
        <is>
          <t>LEVEL 4 ACOUSTIC WALL &amp; CEILING FITOUT</t>
        </is>
      </c>
      <c r="C14" s="14" t="inlineStr">
        <is>
          <t>Polyester 9mm</t>
        </is>
      </c>
      <c r="D14" s="14" t="inlineStr">
        <is>
          <t>P1-POLY-11</t>
        </is>
      </c>
      <c r="E14" s="29" t="n">
        <v>970.1</v>
      </c>
      <c r="F14" s="29" t="n">
        <v>970.1</v>
      </c>
      <c r="G14" s="25" t="inlineStr">
        <is>
          <t>970 × 970 mm</t>
        </is>
      </c>
      <c r="H14" s="25" t="n">
        <v>0</v>
      </c>
      <c r="I14" s="30" t="n">
        <v>0</v>
      </c>
      <c r="J14" s="30" t="n">
        <v>0.9412</v>
      </c>
      <c r="K14" s="30" t="n">
        <v>0.9412</v>
      </c>
      <c r="L14" s="29" t="n">
        <v>3880.56</v>
      </c>
      <c r="M14" s="26" t="inlineStr">
        <is>
          <t>Standard Wall Panel</t>
        </is>
      </c>
      <c r="N14" s="26" t="inlineStr">
        <is>
          <t>Default</t>
        </is>
      </c>
    </row>
    <row r="15">
      <c r="A15" s="27" t="inlineStr">
        <is>
          <t>Page 1</t>
        </is>
      </c>
      <c r="B15" s="28" t="inlineStr">
        <is>
          <t>LEVEL 4 ACOUSTIC WALL &amp; CEILING FITOUT</t>
        </is>
      </c>
      <c r="C15" s="9" t="inlineStr">
        <is>
          <t>Polyester 9mm</t>
        </is>
      </c>
      <c r="D15" s="9" t="inlineStr">
        <is>
          <t>P1-POLY-12</t>
        </is>
      </c>
      <c r="E15" s="31" t="n">
        <v>970.1</v>
      </c>
      <c r="F15" s="31" t="n">
        <v>970.1</v>
      </c>
      <c r="G15" s="27" t="inlineStr">
        <is>
          <t>970 × 970 mm</t>
        </is>
      </c>
      <c r="H15" s="27" t="n">
        <v>0</v>
      </c>
      <c r="I15" s="32" t="n">
        <v>0</v>
      </c>
      <c r="J15" s="32" t="n">
        <v>0.9412</v>
      </c>
      <c r="K15" s="32" t="n">
        <v>0.9412</v>
      </c>
      <c r="L15" s="31" t="n">
        <v>3880.56</v>
      </c>
      <c r="M15" s="28" t="inlineStr">
        <is>
          <t>Standard Wall Panel</t>
        </is>
      </c>
      <c r="N15" s="28" t="inlineStr">
        <is>
          <t>Default</t>
        </is>
      </c>
    </row>
    <row r="16">
      <c r="A16" s="25" t="inlineStr">
        <is>
          <t>Page 1</t>
        </is>
      </c>
      <c r="B16" s="26" t="inlineStr">
        <is>
          <t>LEVEL 4 ACOUSTIC WALL &amp; CEILING FITOUT</t>
        </is>
      </c>
      <c r="C16" s="14" t="inlineStr">
        <is>
          <t>Polyester 9mm</t>
        </is>
      </c>
      <c r="D16" s="14" t="inlineStr">
        <is>
          <t>P1-POLY-13</t>
        </is>
      </c>
      <c r="E16" s="29" t="n">
        <v>970.1</v>
      </c>
      <c r="F16" s="29" t="n">
        <v>970.1</v>
      </c>
      <c r="G16" s="25" t="inlineStr">
        <is>
          <t>970 × 970 mm</t>
        </is>
      </c>
      <c r="H16" s="25" t="n">
        <v>0</v>
      </c>
      <c r="I16" s="30" t="n">
        <v>0</v>
      </c>
      <c r="J16" s="30" t="n">
        <v>0.9412</v>
      </c>
      <c r="K16" s="30" t="n">
        <v>0.9412</v>
      </c>
      <c r="L16" s="29" t="n">
        <v>3880.56</v>
      </c>
      <c r="M16" s="26" t="inlineStr">
        <is>
          <t>Standard Wall Panel</t>
        </is>
      </c>
      <c r="N16" s="26" t="inlineStr">
        <is>
          <t>Default</t>
        </is>
      </c>
    </row>
    <row r="17">
      <c r="A17" s="27" t="inlineStr">
        <is>
          <t>Page 1</t>
        </is>
      </c>
      <c r="B17" s="28" t="inlineStr">
        <is>
          <t>LEVEL 4 ACOUSTIC WALL &amp; CEILING FITOUT</t>
        </is>
      </c>
      <c r="C17" s="9" t="inlineStr">
        <is>
          <t>Polyester 9mm</t>
        </is>
      </c>
      <c r="D17" s="9" t="inlineStr">
        <is>
          <t>P1-POLY-14</t>
        </is>
      </c>
      <c r="E17" s="31" t="n">
        <v>970.1</v>
      </c>
      <c r="F17" s="31" t="n">
        <v>970.1</v>
      </c>
      <c r="G17" s="27" t="inlineStr">
        <is>
          <t>970 × 970 mm</t>
        </is>
      </c>
      <c r="H17" s="27" t="n">
        <v>0</v>
      </c>
      <c r="I17" s="32" t="n">
        <v>0</v>
      </c>
      <c r="J17" s="32" t="n">
        <v>0.9412</v>
      </c>
      <c r="K17" s="32" t="n">
        <v>0.9412</v>
      </c>
      <c r="L17" s="31" t="n">
        <v>3880.56</v>
      </c>
      <c r="M17" s="28" t="inlineStr">
        <is>
          <t>Standard Wall Panel</t>
        </is>
      </c>
      <c r="N17" s="28" t="inlineStr">
        <is>
          <t>Default</t>
        </is>
      </c>
    </row>
    <row r="18">
      <c r="A18" s="25" t="inlineStr">
        <is>
          <t>Page 1</t>
        </is>
      </c>
      <c r="B18" s="26" t="inlineStr">
        <is>
          <t>LEVEL 4 ACOUSTIC WALL &amp; CEILING FITOUT</t>
        </is>
      </c>
      <c r="C18" s="14" t="inlineStr">
        <is>
          <t>Wood Slat Panel</t>
        </is>
      </c>
      <c r="D18" s="14" t="inlineStr">
        <is>
          <t>P1-WOOD-15</t>
        </is>
      </c>
      <c r="E18" s="29" t="n">
        <v>264.6</v>
      </c>
      <c r="F18" s="29" t="n">
        <v>211.7</v>
      </c>
      <c r="G18" s="25" t="inlineStr">
        <is>
          <t>265 × 212 mm</t>
        </is>
      </c>
      <c r="H18" s="25" t="n">
        <v>0</v>
      </c>
      <c r="I18" s="30" t="n">
        <v>0</v>
      </c>
      <c r="J18" s="30" t="n">
        <v>0.056</v>
      </c>
      <c r="K18" s="30" t="n">
        <v>0.056</v>
      </c>
      <c r="L18" s="29" t="n">
        <v>952.5</v>
      </c>
      <c r="M18" s="26" t="inlineStr">
        <is>
          <t>Standard Wall Panel</t>
        </is>
      </c>
      <c r="N18" s="26" t="inlineStr">
        <is>
          <t>Default</t>
        </is>
      </c>
    </row>
    <row r="19">
      <c r="A19" s="27" t="inlineStr">
        <is>
          <t>Page 1</t>
        </is>
      </c>
      <c r="B19" s="28" t="inlineStr">
        <is>
          <t>LEVEL 4 ACOUSTIC WALL &amp; CEILING FITOUT</t>
        </is>
      </c>
      <c r="C19" s="9" t="inlineStr">
        <is>
          <t>Wood Slat Panel</t>
        </is>
      </c>
      <c r="D19" s="9" t="inlineStr">
        <is>
          <t>P1-WOOD-16</t>
        </is>
      </c>
      <c r="E19" s="31" t="n">
        <v>3880.6</v>
      </c>
      <c r="F19" s="31" t="n">
        <v>1587.5</v>
      </c>
      <c r="G19" s="27" t="inlineStr">
        <is>
          <t>3881 × 1588 mm</t>
        </is>
      </c>
      <c r="H19" s="27" t="n">
        <v>0</v>
      </c>
      <c r="I19" s="32" t="n">
        <v>0</v>
      </c>
      <c r="J19" s="32" t="n">
        <v>6.1604</v>
      </c>
      <c r="K19" s="32" t="n">
        <v>6.1604</v>
      </c>
      <c r="L19" s="31" t="n">
        <v>10936.12</v>
      </c>
      <c r="M19" s="28" t="inlineStr">
        <is>
          <t>Ceiling Cloud / Large Panel</t>
        </is>
      </c>
      <c r="N19" s="28" t="inlineStr">
        <is>
          <t>Default</t>
        </is>
      </c>
    </row>
    <row r="20">
      <c r="A20" s="25" t="inlineStr">
        <is>
          <t>Page 1</t>
        </is>
      </c>
      <c r="B20" s="26" t="inlineStr">
        <is>
          <t>LEVEL 4 ACOUSTIC WALL &amp; CEILING FITOUT</t>
        </is>
      </c>
      <c r="C20" s="14" t="inlineStr">
        <is>
          <t>Wood Slat Panel</t>
        </is>
      </c>
      <c r="D20" s="14" t="inlineStr">
        <is>
          <t>P1-WOOD-17</t>
        </is>
      </c>
      <c r="E20" s="29" t="n">
        <v>3880.6</v>
      </c>
      <c r="F20" s="29" t="n">
        <v>1940.3</v>
      </c>
      <c r="G20" s="25" t="inlineStr">
        <is>
          <t>3881 × 1940 mm</t>
        </is>
      </c>
      <c r="H20" s="25" t="n">
        <v>1</v>
      </c>
      <c r="I20" s="30" t="n">
        <v>0.5600000000000001</v>
      </c>
      <c r="J20" s="30" t="n">
        <v>7.5294</v>
      </c>
      <c r="K20" s="30" t="n">
        <v>6.9693</v>
      </c>
      <c r="L20" s="29" t="n">
        <v>14816.68</v>
      </c>
      <c r="M20" s="26" t="inlineStr">
        <is>
          <t>Ceiling Cloud / Large Panel</t>
        </is>
      </c>
      <c r="N20" s="26" t="inlineStr">
        <is>
          <t>Default</t>
        </is>
      </c>
    </row>
    <row r="21">
      <c r="A21" s="27" t="inlineStr">
        <is>
          <t>Page 1</t>
        </is>
      </c>
      <c r="B21" s="28" t="inlineStr">
        <is>
          <t>LEVEL 4 ACOUSTIC WALL &amp; CEILING FITOUT</t>
        </is>
      </c>
      <c r="C21" s="9" t="inlineStr">
        <is>
          <t>Wood Slat Panel</t>
        </is>
      </c>
      <c r="D21" s="9" t="inlineStr">
        <is>
          <t>P1-WOOD-18</t>
        </is>
      </c>
      <c r="E21" s="31" t="n">
        <v>1234.7</v>
      </c>
      <c r="F21" s="31" t="n">
        <v>881.9</v>
      </c>
      <c r="G21" s="27" t="inlineStr">
        <is>
          <t>1235 × 882 mm</t>
        </is>
      </c>
      <c r="H21" s="27" t="n">
        <v>0</v>
      </c>
      <c r="I21" s="32" t="n">
        <v>0</v>
      </c>
      <c r="J21" s="32" t="n">
        <v>1.089</v>
      </c>
      <c r="K21" s="32" t="n">
        <v>1.089</v>
      </c>
      <c r="L21" s="31" t="n">
        <v>4233.34</v>
      </c>
      <c r="M21" s="28" t="inlineStr">
        <is>
          <t>Standard Wall Panel</t>
        </is>
      </c>
      <c r="N21" s="28" t="inlineStr">
        <is>
          <t>Default</t>
        </is>
      </c>
    </row>
    <row r="22">
      <c r="A22" s="25" t="inlineStr">
        <is>
          <t>Page 1</t>
        </is>
      </c>
      <c r="B22" s="26" t="inlineStr">
        <is>
          <t>LEVEL 4 ACOUSTIC WALL &amp; CEILING FITOUT</t>
        </is>
      </c>
      <c r="C22" s="14" t="inlineStr">
        <is>
          <t>Wood Slat Panel</t>
        </is>
      </c>
      <c r="D22" s="14" t="inlineStr">
        <is>
          <t>P1-WOOD-19</t>
        </is>
      </c>
      <c r="E22" s="29" t="n">
        <v>1234.7</v>
      </c>
      <c r="F22" s="29" t="n">
        <v>881.9</v>
      </c>
      <c r="G22" s="25" t="inlineStr">
        <is>
          <t>1235 × 882 mm</t>
        </is>
      </c>
      <c r="H22" s="25" t="n">
        <v>0</v>
      </c>
      <c r="I22" s="30" t="n">
        <v>0</v>
      </c>
      <c r="J22" s="30" t="n">
        <v>1.089</v>
      </c>
      <c r="K22" s="30" t="n">
        <v>1.089</v>
      </c>
      <c r="L22" s="29" t="n">
        <v>4233.34</v>
      </c>
      <c r="M22" s="26" t="inlineStr">
        <is>
          <t>Standard Wall Panel</t>
        </is>
      </c>
      <c r="N22" s="26" t="inlineStr">
        <is>
          <t>Default</t>
        </is>
      </c>
    </row>
    <row r="23">
      <c r="A23" s="27" t="inlineStr">
        <is>
          <t>Page 1</t>
        </is>
      </c>
      <c r="B23" s="28" t="inlineStr">
        <is>
          <t>LEVEL 4 ACOUSTIC WALL &amp; CEILING FITOUT</t>
        </is>
      </c>
      <c r="C23" s="9" t="inlineStr">
        <is>
          <t>Wood Slat Panel</t>
        </is>
      </c>
      <c r="D23" s="9" t="inlineStr">
        <is>
          <t>P1-WOOD-20</t>
        </is>
      </c>
      <c r="E23" s="31" t="n">
        <v>1234.7</v>
      </c>
      <c r="F23" s="31" t="n">
        <v>881.9</v>
      </c>
      <c r="G23" s="27" t="inlineStr">
        <is>
          <t>1235 × 882 mm</t>
        </is>
      </c>
      <c r="H23" s="27" t="n">
        <v>0</v>
      </c>
      <c r="I23" s="32" t="n">
        <v>0</v>
      </c>
      <c r="J23" s="32" t="n">
        <v>1.089</v>
      </c>
      <c r="K23" s="32" t="n">
        <v>1.089</v>
      </c>
      <c r="L23" s="31" t="n">
        <v>4233.34</v>
      </c>
      <c r="M23" s="28" t="inlineStr">
        <is>
          <t>Standard Wall Panel</t>
        </is>
      </c>
      <c r="N23" s="28" t="inlineStr">
        <is>
          <t>Default</t>
        </is>
      </c>
    </row>
    <row r="24">
      <c r="A24" s="25" t="inlineStr">
        <is>
          <t>Page 1</t>
        </is>
      </c>
      <c r="B24" s="26" t="inlineStr">
        <is>
          <t>LEVEL 4 ACOUSTIC WALL &amp; CEILING FITOUT</t>
        </is>
      </c>
      <c r="C24" s="14" t="inlineStr">
        <is>
          <t>Wood Slat Panel</t>
        </is>
      </c>
      <c r="D24" s="14" t="inlineStr">
        <is>
          <t>P1-WOOD-21</t>
        </is>
      </c>
      <c r="E24" s="29" t="n">
        <v>1234.7</v>
      </c>
      <c r="F24" s="29" t="n">
        <v>881.9</v>
      </c>
      <c r="G24" s="25" t="inlineStr">
        <is>
          <t>1235 × 882 mm</t>
        </is>
      </c>
      <c r="H24" s="25" t="n">
        <v>0</v>
      </c>
      <c r="I24" s="30" t="n">
        <v>0</v>
      </c>
      <c r="J24" s="30" t="n">
        <v>1.089</v>
      </c>
      <c r="K24" s="30" t="n">
        <v>1.089</v>
      </c>
      <c r="L24" s="29" t="n">
        <v>4233.34</v>
      </c>
      <c r="M24" s="26" t="inlineStr">
        <is>
          <t>Standard Wall Panel</t>
        </is>
      </c>
      <c r="N24" s="26" t="inlineStr">
        <is>
          <t>Default</t>
        </is>
      </c>
    </row>
    <row r="25">
      <c r="A25" s="27" t="inlineStr">
        <is>
          <t>Page 1</t>
        </is>
      </c>
      <c r="B25" s="28" t="inlineStr">
        <is>
          <t>LEVEL 4 ACOUSTIC WALL &amp; CEILING FITOUT</t>
        </is>
      </c>
      <c r="C25" s="9" t="inlineStr">
        <is>
          <t>Wood Slat Panel</t>
        </is>
      </c>
      <c r="D25" s="9" t="inlineStr">
        <is>
          <t>P1-WOOD-22</t>
        </is>
      </c>
      <c r="E25" s="31" t="n">
        <v>1234.7</v>
      </c>
      <c r="F25" s="31" t="n">
        <v>881.9</v>
      </c>
      <c r="G25" s="27" t="inlineStr">
        <is>
          <t>1235 × 882 mm</t>
        </is>
      </c>
      <c r="H25" s="27" t="n">
        <v>0</v>
      </c>
      <c r="I25" s="32" t="n">
        <v>0</v>
      </c>
      <c r="J25" s="32" t="n">
        <v>1.089</v>
      </c>
      <c r="K25" s="32" t="n">
        <v>1.089</v>
      </c>
      <c r="L25" s="31" t="n">
        <v>4233.34</v>
      </c>
      <c r="M25" s="28" t="inlineStr">
        <is>
          <t>Standard Wall Panel</t>
        </is>
      </c>
      <c r="N25" s="28" t="inlineStr">
        <is>
          <t>Default</t>
        </is>
      </c>
    </row>
    <row r="26">
      <c r="A26" s="25" t="inlineStr">
        <is>
          <t>Page 1</t>
        </is>
      </c>
      <c r="B26" s="26" t="inlineStr">
        <is>
          <t>LEVEL 4 ACOUSTIC WALL &amp; CEILING FITOUT</t>
        </is>
      </c>
      <c r="C26" s="14" t="inlineStr">
        <is>
          <t>Wood Slat Panel</t>
        </is>
      </c>
      <c r="D26" s="14" t="inlineStr">
        <is>
          <t>P1-WOOD-23</t>
        </is>
      </c>
      <c r="E26" s="29" t="n">
        <v>1234.7</v>
      </c>
      <c r="F26" s="29" t="n">
        <v>881.9</v>
      </c>
      <c r="G26" s="25" t="inlineStr">
        <is>
          <t>1235 × 882 mm</t>
        </is>
      </c>
      <c r="H26" s="25" t="n">
        <v>0</v>
      </c>
      <c r="I26" s="30" t="n">
        <v>0</v>
      </c>
      <c r="J26" s="30" t="n">
        <v>1.089</v>
      </c>
      <c r="K26" s="30" t="n">
        <v>1.089</v>
      </c>
      <c r="L26" s="29" t="n">
        <v>4233.34</v>
      </c>
      <c r="M26" s="26" t="inlineStr">
        <is>
          <t>Standard Wall Panel</t>
        </is>
      </c>
      <c r="N26" s="26" t="inlineStr">
        <is>
          <t>Default</t>
        </is>
      </c>
    </row>
    <row r="27">
      <c r="A27" s="27" t="inlineStr">
        <is>
          <t>Page 3</t>
        </is>
      </c>
      <c r="B27" s="28" t="inlineStr">
        <is>
          <t>LEVEL 5 AUDITORIUM ACOUSTIC TREATMENT</t>
        </is>
      </c>
      <c r="C27" s="9" t="inlineStr">
        <is>
          <t>Polyester 9mm</t>
        </is>
      </c>
      <c r="D27" s="9" t="inlineStr">
        <is>
          <t>P3-POLY-24</t>
        </is>
      </c>
      <c r="E27" s="31" t="n">
        <v>1411.1</v>
      </c>
      <c r="F27" s="31" t="n">
        <v>1058.3</v>
      </c>
      <c r="G27" s="27" t="inlineStr">
        <is>
          <t>1411 × 1058 mm</t>
        </is>
      </c>
      <c r="H27" s="27" t="n">
        <v>0</v>
      </c>
      <c r="I27" s="32" t="n">
        <v>0</v>
      </c>
      <c r="J27" s="32" t="n">
        <v>1.4934</v>
      </c>
      <c r="K27" s="32" t="n">
        <v>1.4934</v>
      </c>
      <c r="L27" s="31" t="n">
        <v>4938.89</v>
      </c>
      <c r="M27" s="28" t="inlineStr">
        <is>
          <t>Ceiling Cloud / Large Panel</t>
        </is>
      </c>
      <c r="N27" s="28" t="inlineStr">
        <is>
          <t>Default</t>
        </is>
      </c>
    </row>
    <row r="28">
      <c r="A28" s="25" t="inlineStr">
        <is>
          <t>Page 3</t>
        </is>
      </c>
      <c r="B28" s="26" t="inlineStr">
        <is>
          <t>LEVEL 5 AUDITORIUM ACOUSTIC TREATMENT</t>
        </is>
      </c>
      <c r="C28" s="14" t="inlineStr">
        <is>
          <t>Polyester 9mm</t>
        </is>
      </c>
      <c r="D28" s="14" t="inlineStr">
        <is>
          <t>P3-POLY-25</t>
        </is>
      </c>
      <c r="E28" s="29" t="n">
        <v>1411.1</v>
      </c>
      <c r="F28" s="29" t="n">
        <v>1058.3</v>
      </c>
      <c r="G28" s="25" t="inlineStr">
        <is>
          <t>1411 × 1058 mm</t>
        </is>
      </c>
      <c r="H28" s="25" t="n">
        <v>0</v>
      </c>
      <c r="I28" s="30" t="n">
        <v>0</v>
      </c>
      <c r="J28" s="30" t="n">
        <v>1.4934</v>
      </c>
      <c r="K28" s="30" t="n">
        <v>1.4934</v>
      </c>
      <c r="L28" s="29" t="n">
        <v>4938.89</v>
      </c>
      <c r="M28" s="26" t="inlineStr">
        <is>
          <t>Ceiling Cloud / Large Panel</t>
        </is>
      </c>
      <c r="N28" s="26" t="inlineStr">
        <is>
          <t>Default</t>
        </is>
      </c>
    </row>
    <row r="29">
      <c r="A29" s="27" t="inlineStr">
        <is>
          <t>Page 3</t>
        </is>
      </c>
      <c r="B29" s="28" t="inlineStr">
        <is>
          <t>LEVEL 5 AUDITORIUM ACOUSTIC TREATMENT</t>
        </is>
      </c>
      <c r="C29" s="9" t="inlineStr">
        <is>
          <t>Polyester 9mm</t>
        </is>
      </c>
      <c r="D29" s="9" t="inlineStr">
        <is>
          <t>P3-POLY-26</t>
        </is>
      </c>
      <c r="E29" s="31" t="n">
        <v>1411.1</v>
      </c>
      <c r="F29" s="31" t="n">
        <v>1058.3</v>
      </c>
      <c r="G29" s="27" t="inlineStr">
        <is>
          <t>1411 × 1058 mm</t>
        </is>
      </c>
      <c r="H29" s="27" t="n">
        <v>1</v>
      </c>
      <c r="I29" s="32" t="n">
        <v>0.3236</v>
      </c>
      <c r="J29" s="32" t="n">
        <v>1.4934</v>
      </c>
      <c r="K29" s="32" t="n">
        <v>1.1699</v>
      </c>
      <c r="L29" s="31" t="n">
        <v>4938.89</v>
      </c>
      <c r="M29" s="28" t="inlineStr">
        <is>
          <t>Ceiling Cloud / Large Panel</t>
        </is>
      </c>
      <c r="N29" s="28" t="inlineStr">
        <is>
          <t>Default</t>
        </is>
      </c>
    </row>
    <row r="30">
      <c r="A30" s="25" t="inlineStr">
        <is>
          <t>Page 3</t>
        </is>
      </c>
      <c r="B30" s="26" t="inlineStr">
        <is>
          <t>LEVEL 5 AUDITORIUM ACOUSTIC TREATMENT</t>
        </is>
      </c>
      <c r="C30" s="14" t="inlineStr">
        <is>
          <t>Polyester 9mm</t>
        </is>
      </c>
      <c r="D30" s="14" t="inlineStr">
        <is>
          <t>P3-POLY-27</t>
        </is>
      </c>
      <c r="E30" s="29" t="n">
        <v>1411.1</v>
      </c>
      <c r="F30" s="29" t="n">
        <v>1058.3</v>
      </c>
      <c r="G30" s="25" t="inlineStr">
        <is>
          <t>1411 × 1058 mm</t>
        </is>
      </c>
      <c r="H30" s="25" t="n">
        <v>1</v>
      </c>
      <c r="I30" s="30" t="n">
        <v>0.448</v>
      </c>
      <c r="J30" s="30" t="n">
        <v>1.4934</v>
      </c>
      <c r="K30" s="30" t="n">
        <v>1.0454</v>
      </c>
      <c r="L30" s="29" t="n">
        <v>4938.89</v>
      </c>
      <c r="M30" s="26" t="inlineStr">
        <is>
          <t>Ceiling Cloud / Large Panel</t>
        </is>
      </c>
      <c r="N30" s="26" t="inlineStr">
        <is>
          <t>Default</t>
        </is>
      </c>
    </row>
    <row r="31">
      <c r="A31" s="27" t="inlineStr">
        <is>
          <t>Page 3</t>
        </is>
      </c>
      <c r="B31" s="28" t="inlineStr">
        <is>
          <t>LEVEL 5 AUDITORIUM ACOUSTIC TREATMENT</t>
        </is>
      </c>
      <c r="C31" s="9" t="inlineStr">
        <is>
          <t>Polyester 9mm</t>
        </is>
      </c>
      <c r="D31" s="9" t="inlineStr">
        <is>
          <t>P3-POLY-28</t>
        </is>
      </c>
      <c r="E31" s="31" t="n">
        <v>1411.1</v>
      </c>
      <c r="F31" s="31" t="n">
        <v>1058.3</v>
      </c>
      <c r="G31" s="27" t="inlineStr">
        <is>
          <t>1411 × 1058 mm</t>
        </is>
      </c>
      <c r="H31" s="27" t="n">
        <v>0</v>
      </c>
      <c r="I31" s="32" t="n">
        <v>0</v>
      </c>
      <c r="J31" s="32" t="n">
        <v>1.4934</v>
      </c>
      <c r="K31" s="32" t="n">
        <v>1.4934</v>
      </c>
      <c r="L31" s="31" t="n">
        <v>4938.89</v>
      </c>
      <c r="M31" s="28" t="inlineStr">
        <is>
          <t>Ceiling Cloud / Large Panel</t>
        </is>
      </c>
      <c r="N31" s="28" t="inlineStr">
        <is>
          <t>Default</t>
        </is>
      </c>
    </row>
    <row r="32">
      <c r="A32" s="25" t="inlineStr">
        <is>
          <t>Page 3</t>
        </is>
      </c>
      <c r="B32" s="26" t="inlineStr">
        <is>
          <t>LEVEL 5 AUDITORIUM ACOUSTIC TREATMENT</t>
        </is>
      </c>
      <c r="C32" s="14" t="inlineStr">
        <is>
          <t>Polyester 9mm</t>
        </is>
      </c>
      <c r="D32" s="14" t="inlineStr">
        <is>
          <t>P3-POLY-29</t>
        </is>
      </c>
      <c r="E32" s="29" t="n">
        <v>1411.1</v>
      </c>
      <c r="F32" s="29" t="n">
        <v>1058.3</v>
      </c>
      <c r="G32" s="25" t="inlineStr">
        <is>
          <t>1411 × 1058 mm</t>
        </is>
      </c>
      <c r="H32" s="25" t="n">
        <v>0</v>
      </c>
      <c r="I32" s="30" t="n">
        <v>0</v>
      </c>
      <c r="J32" s="30" t="n">
        <v>1.4934</v>
      </c>
      <c r="K32" s="30" t="n">
        <v>1.4934</v>
      </c>
      <c r="L32" s="29" t="n">
        <v>4938.89</v>
      </c>
      <c r="M32" s="26" t="inlineStr">
        <is>
          <t>Ceiling Cloud / Large Panel</t>
        </is>
      </c>
      <c r="N32" s="26" t="inlineStr">
        <is>
          <t>Default</t>
        </is>
      </c>
    </row>
    <row r="33">
      <c r="A33" s="27" t="inlineStr">
        <is>
          <t>Page 3</t>
        </is>
      </c>
      <c r="B33" s="28" t="inlineStr">
        <is>
          <t>LEVEL 5 AUDITORIUM ACOUSTIC TREATMENT</t>
        </is>
      </c>
      <c r="C33" s="9" t="inlineStr">
        <is>
          <t>Wood Slat Panel</t>
        </is>
      </c>
      <c r="D33" s="9" t="inlineStr">
        <is>
          <t>P3-WOOD-30</t>
        </is>
      </c>
      <c r="E33" s="31" t="n">
        <v>1499.3</v>
      </c>
      <c r="F33" s="31" t="n">
        <v>1234.7</v>
      </c>
      <c r="G33" s="27" t="inlineStr">
        <is>
          <t>1499 × 1235 mm</t>
        </is>
      </c>
      <c r="H33" s="27" t="n">
        <v>0</v>
      </c>
      <c r="I33" s="32" t="n">
        <v>0</v>
      </c>
      <c r="J33" s="32" t="n">
        <v>1.8512</v>
      </c>
      <c r="K33" s="32" t="n">
        <v>1.8512</v>
      </c>
      <c r="L33" s="31" t="n">
        <v>5468.06</v>
      </c>
      <c r="M33" s="28" t="inlineStr">
        <is>
          <t>Ceiling Cloud / Large Panel</t>
        </is>
      </c>
      <c r="N33" s="28" t="inlineStr">
        <is>
          <t>Default</t>
        </is>
      </c>
    </row>
    <row r="34">
      <c r="A34" s="25" t="inlineStr">
        <is>
          <t>Page 3</t>
        </is>
      </c>
      <c r="B34" s="26" t="inlineStr">
        <is>
          <t>LEVEL 5 AUDITORIUM ACOUSTIC TREATMENT</t>
        </is>
      </c>
      <c r="C34" s="14" t="inlineStr">
        <is>
          <t>Wood Slat Panel</t>
        </is>
      </c>
      <c r="D34" s="14" t="inlineStr">
        <is>
          <t>P3-WOOD-31</t>
        </is>
      </c>
      <c r="E34" s="29" t="n">
        <v>1499.3</v>
      </c>
      <c r="F34" s="29" t="n">
        <v>1234.7</v>
      </c>
      <c r="G34" s="25" t="inlineStr">
        <is>
          <t>1499 × 1235 mm</t>
        </is>
      </c>
      <c r="H34" s="25" t="n">
        <v>0</v>
      </c>
      <c r="I34" s="30" t="n">
        <v>0</v>
      </c>
      <c r="J34" s="30" t="n">
        <v>1.8512</v>
      </c>
      <c r="K34" s="30" t="n">
        <v>1.8512</v>
      </c>
      <c r="L34" s="29" t="n">
        <v>5468.06</v>
      </c>
      <c r="M34" s="26" t="inlineStr">
        <is>
          <t>Ceiling Cloud / Large Panel</t>
        </is>
      </c>
      <c r="N34" s="26" t="inlineStr">
        <is>
          <t>Default</t>
        </is>
      </c>
    </row>
    <row r="35">
      <c r="A35" s="27" t="inlineStr">
        <is>
          <t>Page 3</t>
        </is>
      </c>
      <c r="B35" s="28" t="inlineStr">
        <is>
          <t>LEVEL 5 AUDITORIUM ACOUSTIC TREATMENT</t>
        </is>
      </c>
      <c r="C35" s="9" t="inlineStr">
        <is>
          <t>Wood Slat Panel</t>
        </is>
      </c>
      <c r="D35" s="9" t="inlineStr">
        <is>
          <t>P3-WOOD-32</t>
        </is>
      </c>
      <c r="E35" s="31" t="n">
        <v>1499.3</v>
      </c>
      <c r="F35" s="31" t="n">
        <v>1234.7</v>
      </c>
      <c r="G35" s="27" t="inlineStr">
        <is>
          <t>1499 × 1235 mm</t>
        </is>
      </c>
      <c r="H35" s="27" t="n">
        <v>0</v>
      </c>
      <c r="I35" s="32" t="n">
        <v>0</v>
      </c>
      <c r="J35" s="32" t="n">
        <v>1.8512</v>
      </c>
      <c r="K35" s="32" t="n">
        <v>1.8512</v>
      </c>
      <c r="L35" s="31" t="n">
        <v>5468.06</v>
      </c>
      <c r="M35" s="28" t="inlineStr">
        <is>
          <t>Ceiling Cloud / Large Panel</t>
        </is>
      </c>
      <c r="N35" s="28" t="inlineStr">
        <is>
          <t>Default</t>
        </is>
      </c>
    </row>
    <row r="36">
      <c r="A36" s="25" t="inlineStr">
        <is>
          <t>Page 3</t>
        </is>
      </c>
      <c r="B36" s="26" t="inlineStr">
        <is>
          <t>LEVEL 5 AUDITORIUM ACOUSTIC TREATMENT</t>
        </is>
      </c>
      <c r="C36" s="14" t="inlineStr">
        <is>
          <t>Wood Slat Panel</t>
        </is>
      </c>
      <c r="D36" s="14" t="inlineStr">
        <is>
          <t>P3-WOOD-33</t>
        </is>
      </c>
      <c r="E36" s="29" t="n">
        <v>1499.3</v>
      </c>
      <c r="F36" s="29" t="n">
        <v>1234.7</v>
      </c>
      <c r="G36" s="25" t="inlineStr">
        <is>
          <t>1499 × 1235 mm</t>
        </is>
      </c>
      <c r="H36" s="25" t="n">
        <v>0</v>
      </c>
      <c r="I36" s="30" t="n">
        <v>0</v>
      </c>
      <c r="J36" s="30" t="n">
        <v>1.8512</v>
      </c>
      <c r="K36" s="30" t="n">
        <v>1.8512</v>
      </c>
      <c r="L36" s="29" t="n">
        <v>5468.06</v>
      </c>
      <c r="M36" s="26" t="inlineStr">
        <is>
          <t>Ceiling Cloud / Large Panel</t>
        </is>
      </c>
      <c r="N36" s="26" t="inlineStr">
        <is>
          <t>Default</t>
        </is>
      </c>
    </row>
    <row r="37">
      <c r="A37" s="27" t="inlineStr">
        <is>
          <t>Page 3</t>
        </is>
      </c>
      <c r="B37" s="28" t="inlineStr">
        <is>
          <t>LEVEL 5 AUDITORIUM ACOUSTIC TREATMENT</t>
        </is>
      </c>
      <c r="C37" s="9" t="inlineStr">
        <is>
          <t>Wood Slat Panel</t>
        </is>
      </c>
      <c r="D37" s="9" t="inlineStr">
        <is>
          <t>P3-WOOD-34</t>
        </is>
      </c>
      <c r="E37" s="31" t="n">
        <v>1499.3</v>
      </c>
      <c r="F37" s="31" t="n">
        <v>1234.7</v>
      </c>
      <c r="G37" s="27" t="inlineStr">
        <is>
          <t>1499 × 1235 mm</t>
        </is>
      </c>
      <c r="H37" s="27" t="n">
        <v>0</v>
      </c>
      <c r="I37" s="32" t="n">
        <v>0</v>
      </c>
      <c r="J37" s="32" t="n">
        <v>1.8512</v>
      </c>
      <c r="K37" s="32" t="n">
        <v>1.8512</v>
      </c>
      <c r="L37" s="31" t="n">
        <v>5468.06</v>
      </c>
      <c r="M37" s="28" t="inlineStr">
        <is>
          <t>Ceiling Cloud / Large Panel</t>
        </is>
      </c>
      <c r="N37" s="28" t="inlineStr">
        <is>
          <t>Default</t>
        </is>
      </c>
    </row>
    <row r="38">
      <c r="A38" s="25" t="inlineStr">
        <is>
          <t>Page 3</t>
        </is>
      </c>
      <c r="B38" s="26" t="inlineStr">
        <is>
          <t>LEVEL 5 AUDITORIUM ACOUSTIC TREATMENT</t>
        </is>
      </c>
      <c r="C38" s="14" t="inlineStr">
        <is>
          <t>Wood Slat Panel</t>
        </is>
      </c>
      <c r="D38" s="14" t="inlineStr">
        <is>
          <t>P3-WOOD-35</t>
        </is>
      </c>
      <c r="E38" s="29" t="n">
        <v>1499.3</v>
      </c>
      <c r="F38" s="29" t="n">
        <v>1234.7</v>
      </c>
      <c r="G38" s="25" t="inlineStr">
        <is>
          <t>1499 × 1235 mm</t>
        </is>
      </c>
      <c r="H38" s="25" t="n">
        <v>0</v>
      </c>
      <c r="I38" s="30" t="n">
        <v>0</v>
      </c>
      <c r="J38" s="30" t="n">
        <v>1.8512</v>
      </c>
      <c r="K38" s="30" t="n">
        <v>1.8512</v>
      </c>
      <c r="L38" s="29" t="n">
        <v>5468.06</v>
      </c>
      <c r="M38" s="26" t="inlineStr">
        <is>
          <t>Ceiling Cloud / Large Panel</t>
        </is>
      </c>
      <c r="N38" s="26" t="inlineStr">
        <is>
          <t>Default</t>
        </is>
      </c>
    </row>
    <row r="39">
      <c r="A39" s="27" t="inlineStr">
        <is>
          <t>Page 3</t>
        </is>
      </c>
      <c r="B39" s="28" t="inlineStr">
        <is>
          <t>LEVEL 5 AUDITORIUM ACOUSTIC TREATMENT</t>
        </is>
      </c>
      <c r="C39" s="9" t="inlineStr">
        <is>
          <t>Fabric Wrapped 25mm</t>
        </is>
      </c>
      <c r="D39" s="9" t="inlineStr">
        <is>
          <t>P3-FABR-36</t>
        </is>
      </c>
      <c r="E39" s="31" t="n">
        <v>1852.1</v>
      </c>
      <c r="F39" s="31" t="n">
        <v>1146.5</v>
      </c>
      <c r="G39" s="27" t="inlineStr">
        <is>
          <t>1852 × 1146 mm</t>
        </is>
      </c>
      <c r="H39" s="27" t="n">
        <v>0</v>
      </c>
      <c r="I39" s="32" t="n">
        <v>0</v>
      </c>
      <c r="J39" s="32" t="n">
        <v>2.1235</v>
      </c>
      <c r="K39" s="32" t="n">
        <v>2.1235</v>
      </c>
      <c r="L39" s="31" t="n">
        <v>5997.23</v>
      </c>
      <c r="M39" s="28" t="inlineStr">
        <is>
          <t>Ceiling Cloud / Large Panel</t>
        </is>
      </c>
      <c r="N39" s="28" t="inlineStr">
        <is>
          <t>Default</t>
        </is>
      </c>
    </row>
    <row r="40">
      <c r="A40" s="25" t="inlineStr">
        <is>
          <t>Page 3</t>
        </is>
      </c>
      <c r="B40" s="26" t="inlineStr">
        <is>
          <t>LEVEL 5 AUDITORIUM ACOUSTIC TREATMENT</t>
        </is>
      </c>
      <c r="C40" s="14" t="inlineStr">
        <is>
          <t>Fabric Wrapped 25mm</t>
        </is>
      </c>
      <c r="D40" s="14" t="inlineStr">
        <is>
          <t>P3-FABR-37</t>
        </is>
      </c>
      <c r="E40" s="29" t="n">
        <v>1852.1</v>
      </c>
      <c r="F40" s="29" t="n">
        <v>1146.5</v>
      </c>
      <c r="G40" s="25" t="inlineStr">
        <is>
          <t>1852 × 1146 mm</t>
        </is>
      </c>
      <c r="H40" s="25" t="n">
        <v>0</v>
      </c>
      <c r="I40" s="30" t="n">
        <v>0</v>
      </c>
      <c r="J40" s="30" t="n">
        <v>2.1235</v>
      </c>
      <c r="K40" s="30" t="n">
        <v>2.1235</v>
      </c>
      <c r="L40" s="29" t="n">
        <v>5997.23</v>
      </c>
      <c r="M40" s="26" t="inlineStr">
        <is>
          <t>Ceiling Cloud / Large Panel</t>
        </is>
      </c>
      <c r="N40" s="26" t="inlineStr">
        <is>
          <t>Default</t>
        </is>
      </c>
    </row>
    <row r="41">
      <c r="A41" s="27" t="inlineStr">
        <is>
          <t>Page 3</t>
        </is>
      </c>
      <c r="B41" s="28" t="inlineStr">
        <is>
          <t>LEVEL 5 AUDITORIUM ACOUSTIC TREATMENT</t>
        </is>
      </c>
      <c r="C41" s="9" t="inlineStr">
        <is>
          <t>Fabric Wrapped 25mm</t>
        </is>
      </c>
      <c r="D41" s="9" t="inlineStr">
        <is>
          <t>P3-FABR-38</t>
        </is>
      </c>
      <c r="E41" s="31" t="n">
        <v>1852.1</v>
      </c>
      <c r="F41" s="31" t="n">
        <v>1146.5</v>
      </c>
      <c r="G41" s="27" t="inlineStr">
        <is>
          <t>1852 × 1146 mm</t>
        </is>
      </c>
      <c r="H41" s="27" t="n">
        <v>0</v>
      </c>
      <c r="I41" s="32" t="n">
        <v>0</v>
      </c>
      <c r="J41" s="32" t="n">
        <v>2.1235</v>
      </c>
      <c r="K41" s="32" t="n">
        <v>2.1235</v>
      </c>
      <c r="L41" s="31" t="n">
        <v>5997.23</v>
      </c>
      <c r="M41" s="28" t="inlineStr">
        <is>
          <t>Ceiling Cloud / Large Panel</t>
        </is>
      </c>
      <c r="N41" s="28" t="inlineStr">
        <is>
          <t>Default</t>
        </is>
      </c>
    </row>
    <row r="42">
      <c r="A42" s="25" t="inlineStr">
        <is>
          <t>Page 3</t>
        </is>
      </c>
      <c r="B42" s="26" t="inlineStr">
        <is>
          <t>LEVEL 5 AUDITORIUM ACOUSTIC TREATMENT</t>
        </is>
      </c>
      <c r="C42" s="14" t="inlineStr">
        <is>
          <t>Fabric Wrapped 25mm</t>
        </is>
      </c>
      <c r="D42" s="14" t="inlineStr">
        <is>
          <t>P3-FABR-39</t>
        </is>
      </c>
      <c r="E42" s="29" t="n">
        <v>1852.1</v>
      </c>
      <c r="F42" s="29" t="n">
        <v>1146.5</v>
      </c>
      <c r="G42" s="25" t="inlineStr">
        <is>
          <t>1852 × 1146 mm</t>
        </is>
      </c>
      <c r="H42" s="25" t="n">
        <v>0</v>
      </c>
      <c r="I42" s="30" t="n">
        <v>0</v>
      </c>
      <c r="J42" s="30" t="n">
        <v>2.1235</v>
      </c>
      <c r="K42" s="30" t="n">
        <v>2.1235</v>
      </c>
      <c r="L42" s="29" t="n">
        <v>5997.23</v>
      </c>
      <c r="M42" s="26" t="inlineStr">
        <is>
          <t>Ceiling Cloud / Large Panel</t>
        </is>
      </c>
      <c r="N42" s="26" t="inlineStr">
        <is>
          <t>Default</t>
        </is>
      </c>
    </row>
    <row r="43">
      <c r="A43" s="19" t="inlineStr">
        <is>
          <t>TOTALS</t>
        </is>
      </c>
      <c r="B43" s="22" t="inlineStr">
        <is>
          <t>-</t>
        </is>
      </c>
      <c r="C43" s="22" t="inlineStr">
        <is>
          <t>-</t>
        </is>
      </c>
      <c r="D43" s="19" t="inlineStr">
        <is>
          <t>39 Panels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19">
        <f>SUM(H4:H42)</f>
        <v/>
      </c>
      <c r="I43" s="33">
        <f>SUM(I4:I42)</f>
        <v/>
      </c>
      <c r="J43" s="33">
        <f>SUM(J4:J42)</f>
        <v/>
      </c>
      <c r="K43" s="33">
        <f>SUM(K4:K42)</f>
        <v/>
      </c>
      <c r="L43" s="34">
        <f>SUM(L4:L42)</f>
        <v/>
      </c>
      <c r="M43" s="22" t="inlineStr">
        <is>
          <t>-</t>
        </is>
      </c>
      <c r="N43" s="2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1" workbookViewId="0">
      <selection activeCell="A1" sqref="A1"/>
    </sheetView>
  </sheetViews>
  <sheetFormatPr baseColWidth="8" defaultRowHeight="15"/>
  <cols>
    <col width="69.5" customWidth="1" min="1" max="1"/>
    <col width="18.5" customWidth="1" min="2" max="2"/>
    <col width="16.5" customWidth="1" min="3" max="3"/>
    <col width="41.5" customWidth="1" min="4" max="4"/>
    <col width="18.5" customWidth="1" min="5" max="5"/>
    <col width="22.5" customWidth="1" min="6" max="6"/>
    <col width="21.5" customWidth="1" min="7" max="7"/>
    <col width="24.5" customWidth="1" min="8" max="8"/>
    <col width="15.5" customWidth="1" min="9" max="9"/>
  </cols>
  <sheetData>
    <row r="1">
      <c r="A1" s="3" t="inlineStr">
        <is>
          <t>STOCK SHEET CUTTING PLANS &amp; NESTING BOM (GROUPED BY MATERIAL TYPE)</t>
        </is>
      </c>
    </row>
    <row r="2"/>
    <row r="3">
      <c r="A3" s="35" t="inlineStr">
        <is>
          <t>MATERIAL: FABRIC WRAPPED 25MM — NESTING CUT PLAN (4 SHEETS)</t>
        </is>
      </c>
    </row>
    <row r="4">
      <c r="A4" s="24" t="inlineStr">
        <is>
          <t>Stock Sheet #</t>
        </is>
      </c>
      <c r="B4" s="24" t="inlineStr">
        <is>
          <t>Stock Size (mm)</t>
        </is>
      </c>
      <c r="C4" s="24" t="inlineStr">
        <is>
          <t>Pieces Placed</t>
        </is>
      </c>
      <c r="D4" s="24" t="inlineStr">
        <is>
          <t>Used Area (m²)</t>
        </is>
      </c>
      <c r="E4" s="24" t="inlineStr">
        <is>
          <t>Sheet Area (m²)</t>
        </is>
      </c>
      <c r="F4" s="24" t="inlineStr">
        <is>
          <t>Yield %</t>
        </is>
      </c>
      <c r="G4" s="24" t="inlineStr">
        <is>
          <t>Waste %</t>
        </is>
      </c>
      <c r="H4" s="24" t="inlineStr">
        <is>
          <t>Items Nested on Sheet</t>
        </is>
      </c>
      <c r="I4" s="24" t="inlineStr">
        <is>
          <t>Origin Pages</t>
        </is>
      </c>
    </row>
    <row r="5">
      <c r="A5" s="9" t="inlineStr">
        <is>
          <t>Sheet #1</t>
        </is>
      </c>
      <c r="B5" s="27" t="inlineStr">
        <is>
          <t>2400 × 1200</t>
        </is>
      </c>
      <c r="C5" s="27" t="n">
        <v>1</v>
      </c>
      <c r="D5" s="32" t="n">
        <v>2.123</v>
      </c>
      <c r="E5" s="32" t="n">
        <v>2.88</v>
      </c>
      <c r="F5" s="12" t="n">
        <v>0.7373000000000001</v>
      </c>
      <c r="G5" s="12" t="n">
        <v>0.2627</v>
      </c>
      <c r="H5" s="28" t="inlineStr">
        <is>
          <t>AP-036</t>
        </is>
      </c>
      <c r="I5" s="27" t="inlineStr">
        <is>
          <t>P.3</t>
        </is>
      </c>
    </row>
    <row r="6">
      <c r="A6" s="14" t="inlineStr">
        <is>
          <t>Sheet #2</t>
        </is>
      </c>
      <c r="B6" s="25" t="inlineStr">
        <is>
          <t>2400 × 1200</t>
        </is>
      </c>
      <c r="C6" s="25" t="n">
        <v>1</v>
      </c>
      <c r="D6" s="30" t="n">
        <v>2.123</v>
      </c>
      <c r="E6" s="30" t="n">
        <v>2.88</v>
      </c>
      <c r="F6" s="17" t="n">
        <v>0.7373000000000001</v>
      </c>
      <c r="G6" s="17" t="n">
        <v>0.2627</v>
      </c>
      <c r="H6" s="26" t="inlineStr">
        <is>
          <t>AP-037</t>
        </is>
      </c>
      <c r="I6" s="25" t="inlineStr">
        <is>
          <t>P.3</t>
        </is>
      </c>
    </row>
    <row r="7">
      <c r="A7" s="9" t="inlineStr">
        <is>
          <t>Sheet #3</t>
        </is>
      </c>
      <c r="B7" s="27" t="inlineStr">
        <is>
          <t>2400 × 1200</t>
        </is>
      </c>
      <c r="C7" s="27" t="n">
        <v>1</v>
      </c>
      <c r="D7" s="32" t="n">
        <v>2.123</v>
      </c>
      <c r="E7" s="32" t="n">
        <v>2.88</v>
      </c>
      <c r="F7" s="12" t="n">
        <v>0.7373000000000001</v>
      </c>
      <c r="G7" s="12" t="n">
        <v>0.2627</v>
      </c>
      <c r="H7" s="28" t="inlineStr">
        <is>
          <t>AP-038</t>
        </is>
      </c>
      <c r="I7" s="27" t="inlineStr">
        <is>
          <t>P.3</t>
        </is>
      </c>
    </row>
    <row r="8">
      <c r="A8" s="14" t="inlineStr">
        <is>
          <t>Sheet #4</t>
        </is>
      </c>
      <c r="B8" s="25" t="inlineStr">
        <is>
          <t>2400 × 1200</t>
        </is>
      </c>
      <c r="C8" s="25" t="n">
        <v>1</v>
      </c>
      <c r="D8" s="30" t="n">
        <v>2.123</v>
      </c>
      <c r="E8" s="30" t="n">
        <v>2.88</v>
      </c>
      <c r="F8" s="17" t="n">
        <v>0.7373000000000001</v>
      </c>
      <c r="G8" s="17" t="n">
        <v>0.2627</v>
      </c>
      <c r="H8" s="26" t="inlineStr">
        <is>
          <t>AP-039</t>
        </is>
      </c>
      <c r="I8" s="25" t="inlineStr">
        <is>
          <t>P.3</t>
        </is>
      </c>
    </row>
    <row r="9">
      <c r="A9" s="19" t="inlineStr">
        <is>
          <t>SUBTOTAL: Fabric Wrapped 25mm</t>
        </is>
      </c>
      <c r="B9" s="22" t="inlineStr">
        <is>
          <t>-</t>
        </is>
      </c>
      <c r="C9" s="19">
        <f>SUM(C5:C8)</f>
        <v/>
      </c>
      <c r="D9" s="33">
        <f>SUM(D5:D8)</f>
        <v/>
      </c>
      <c r="E9" s="33">
        <f>SUM(E5:E8)</f>
        <v/>
      </c>
      <c r="F9" s="21">
        <f>D9/E9</f>
        <v/>
      </c>
      <c r="G9" s="21">
        <f>1-F9</f>
        <v/>
      </c>
      <c r="H9" s="22" t="inlineStr">
        <is>
          <t>-</t>
        </is>
      </c>
      <c r="I9" s="22" t="inlineStr">
        <is>
          <t>-</t>
        </is>
      </c>
    </row>
    <row r="10"/>
    <row r="11">
      <c r="A11" s="3" t="inlineStr">
        <is>
          <t>CNC SHOP CUTTING COORDINATES — FABRIC WRAPPED 25MM</t>
        </is>
      </c>
    </row>
    <row r="12">
      <c r="A12" s="24" t="inlineStr">
        <is>
          <t>Sheet #</t>
        </is>
      </c>
      <c r="B12" s="24" t="inlineStr">
        <is>
          <t>Panel Tag</t>
        </is>
      </c>
      <c r="C12" s="24" t="inlineStr">
        <is>
          <t>Page No.</t>
        </is>
      </c>
      <c r="D12" s="24" t="inlineStr">
        <is>
          <t>Room Name</t>
        </is>
      </c>
      <c r="E12" s="24" t="inlineStr">
        <is>
          <t>Cut X (mm)</t>
        </is>
      </c>
      <c r="F12" s="24" t="inlineStr">
        <is>
          <t>Cut Y (mm)</t>
        </is>
      </c>
      <c r="G12" s="24" t="inlineStr">
        <is>
          <t>Length (mm)</t>
        </is>
      </c>
      <c r="H12" s="24" t="inlineStr">
        <is>
          <t>Width (mm)</t>
        </is>
      </c>
      <c r="I12" s="24" t="inlineStr">
        <is>
          <t>Rotated 90°</t>
        </is>
      </c>
    </row>
    <row r="13">
      <c r="A13" s="27" t="inlineStr">
        <is>
          <t>Sheet #1</t>
        </is>
      </c>
      <c r="B13" s="9" t="inlineStr">
        <is>
          <t>AP-036</t>
        </is>
      </c>
      <c r="C13" s="27" t="inlineStr">
        <is>
          <t>Page 3</t>
        </is>
      </c>
      <c r="D13" s="28" t="inlineStr">
        <is>
          <t>LEVEL 5 AUDITORIUM ACOUSTIC TREATMENT</t>
        </is>
      </c>
      <c r="E13" s="31" t="n">
        <v>10</v>
      </c>
      <c r="F13" s="31" t="n">
        <v>10</v>
      </c>
      <c r="G13" s="31" t="n">
        <v>1852.1</v>
      </c>
      <c r="H13" s="31" t="n">
        <v>1146.5</v>
      </c>
      <c r="I13" s="27" t="inlineStr">
        <is>
          <t>NO</t>
        </is>
      </c>
    </row>
    <row r="14">
      <c r="A14" s="25" t="inlineStr">
        <is>
          <t>Sheet #2</t>
        </is>
      </c>
      <c r="B14" s="14" t="inlineStr">
        <is>
          <t>AP-037</t>
        </is>
      </c>
      <c r="C14" s="25" t="inlineStr">
        <is>
          <t>Page 3</t>
        </is>
      </c>
      <c r="D14" s="26" t="inlineStr">
        <is>
          <t>LEVEL 5 AUDITORIUM ACOUSTIC TREATMENT</t>
        </is>
      </c>
      <c r="E14" s="29" t="n">
        <v>10</v>
      </c>
      <c r="F14" s="29" t="n">
        <v>10</v>
      </c>
      <c r="G14" s="29" t="n">
        <v>1852.1</v>
      </c>
      <c r="H14" s="29" t="n">
        <v>1146.5</v>
      </c>
      <c r="I14" s="25" t="inlineStr">
        <is>
          <t>NO</t>
        </is>
      </c>
    </row>
    <row r="15">
      <c r="A15" s="27" t="inlineStr">
        <is>
          <t>Sheet #3</t>
        </is>
      </c>
      <c r="B15" s="9" t="inlineStr">
        <is>
          <t>AP-038</t>
        </is>
      </c>
      <c r="C15" s="27" t="inlineStr">
        <is>
          <t>Page 3</t>
        </is>
      </c>
      <c r="D15" s="28" t="inlineStr">
        <is>
          <t>LEVEL 5 AUDITORIUM ACOUSTIC TREATMENT</t>
        </is>
      </c>
      <c r="E15" s="31" t="n">
        <v>10</v>
      </c>
      <c r="F15" s="31" t="n">
        <v>10</v>
      </c>
      <c r="G15" s="31" t="n">
        <v>1852.1</v>
      </c>
      <c r="H15" s="31" t="n">
        <v>1146.5</v>
      </c>
      <c r="I15" s="27" t="inlineStr">
        <is>
          <t>NO</t>
        </is>
      </c>
    </row>
    <row r="16">
      <c r="A16" s="25" t="inlineStr">
        <is>
          <t>Sheet #4</t>
        </is>
      </c>
      <c r="B16" s="14" t="inlineStr">
        <is>
          <t>AP-039</t>
        </is>
      </c>
      <c r="C16" s="25" t="inlineStr">
        <is>
          <t>Page 3</t>
        </is>
      </c>
      <c r="D16" s="26" t="inlineStr">
        <is>
          <t>LEVEL 5 AUDITORIUM ACOUSTIC TREATMENT</t>
        </is>
      </c>
      <c r="E16" s="29" t="n">
        <v>10</v>
      </c>
      <c r="F16" s="29" t="n">
        <v>10</v>
      </c>
      <c r="G16" s="29" t="n">
        <v>1852.1</v>
      </c>
      <c r="H16" s="29" t="n">
        <v>1146.5</v>
      </c>
      <c r="I16" s="25" t="inlineStr">
        <is>
          <t>NO</t>
        </is>
      </c>
    </row>
    <row r="17"/>
    <row r="18"/>
    <row r="19"/>
    <row r="20">
      <c r="A20" s="35" t="inlineStr">
        <is>
          <t>MATERIAL: POLYESTER 9MM — NESTING CUT PLAN (17 SHEETS)</t>
        </is>
      </c>
    </row>
    <row r="21">
      <c r="A21" s="24" t="inlineStr">
        <is>
          <t>Stock Sheet #</t>
        </is>
      </c>
      <c r="B21" s="24" t="inlineStr">
        <is>
          <t>Stock Size (mm)</t>
        </is>
      </c>
      <c r="C21" s="24" t="inlineStr">
        <is>
          <t>Pieces Placed</t>
        </is>
      </c>
      <c r="D21" s="24" t="inlineStr">
        <is>
          <t>Used Area (m²)</t>
        </is>
      </c>
      <c r="E21" s="24" t="inlineStr">
        <is>
          <t>Sheet Area (m²)</t>
        </is>
      </c>
      <c r="F21" s="24" t="inlineStr">
        <is>
          <t>Yield %</t>
        </is>
      </c>
      <c r="G21" s="24" t="inlineStr">
        <is>
          <t>Waste %</t>
        </is>
      </c>
      <c r="H21" s="24" t="inlineStr">
        <is>
          <t>Items Nested on Sheet</t>
        </is>
      </c>
      <c r="I21" s="24" t="inlineStr">
        <is>
          <t>Origin Pages</t>
        </is>
      </c>
    </row>
    <row r="22">
      <c r="A22" s="14" t="inlineStr">
        <is>
          <t>Sheet #1</t>
        </is>
      </c>
      <c r="B22" s="25" t="inlineStr">
        <is>
          <t>2400 × 1200</t>
        </is>
      </c>
      <c r="C22" s="25" t="n">
        <v>1</v>
      </c>
      <c r="D22" s="30" t="n">
        <v>1.618</v>
      </c>
      <c r="E22" s="30" t="n">
        <v>2.88</v>
      </c>
      <c r="F22" s="17" t="n">
        <v>0.5618</v>
      </c>
      <c r="G22" s="17" t="n">
        <v>0.4382</v>
      </c>
      <c r="H22" s="26" t="inlineStr">
        <is>
          <t>AP-009</t>
        </is>
      </c>
      <c r="I22" s="25" t="inlineStr">
        <is>
          <t>P.1</t>
        </is>
      </c>
    </row>
    <row r="23">
      <c r="A23" s="9" t="inlineStr">
        <is>
          <t>Sheet #2</t>
        </is>
      </c>
      <c r="B23" s="27" t="inlineStr">
        <is>
          <t>2400 × 1200</t>
        </is>
      </c>
      <c r="C23" s="27" t="n">
        <v>1</v>
      </c>
      <c r="D23" s="32" t="n">
        <v>1.494</v>
      </c>
      <c r="E23" s="32" t="n">
        <v>2.88</v>
      </c>
      <c r="F23" s="12" t="n">
        <v>0.5185999999999999</v>
      </c>
      <c r="G23" s="12" t="n">
        <v>0.4814</v>
      </c>
      <c r="H23" s="28" t="inlineStr">
        <is>
          <t>AP-010</t>
        </is>
      </c>
      <c r="I23" s="27" t="inlineStr">
        <is>
          <t>P.1</t>
        </is>
      </c>
    </row>
    <row r="24">
      <c r="A24" s="14" t="inlineStr">
        <is>
          <t>Sheet #3</t>
        </is>
      </c>
      <c r="B24" s="25" t="inlineStr">
        <is>
          <t>2400 × 1200</t>
        </is>
      </c>
      <c r="C24" s="25" t="n">
        <v>1</v>
      </c>
      <c r="D24" s="30" t="n">
        <v>1.322</v>
      </c>
      <c r="E24" s="30" t="n">
        <v>2.88</v>
      </c>
      <c r="F24" s="17" t="n">
        <v>0.4591</v>
      </c>
      <c r="G24" s="17" t="n">
        <v>0.5409</v>
      </c>
      <c r="H24" s="26" t="inlineStr">
        <is>
          <t>AP-006</t>
        </is>
      </c>
      <c r="I24" s="25" t="inlineStr">
        <is>
          <t>P.1</t>
        </is>
      </c>
    </row>
    <row r="25">
      <c r="A25" s="9" t="inlineStr">
        <is>
          <t>Sheet #4</t>
        </is>
      </c>
      <c r="B25" s="27" t="inlineStr">
        <is>
          <t>2400 × 1200</t>
        </is>
      </c>
      <c r="C25" s="27" t="n">
        <v>1</v>
      </c>
      <c r="D25" s="32" t="n">
        <v>1.322</v>
      </c>
      <c r="E25" s="32" t="n">
        <v>2.88</v>
      </c>
      <c r="F25" s="12" t="n">
        <v>0.4591</v>
      </c>
      <c r="G25" s="12" t="n">
        <v>0.5409</v>
      </c>
      <c r="H25" s="28" t="inlineStr">
        <is>
          <t>AP-007</t>
        </is>
      </c>
      <c r="I25" s="27" t="inlineStr">
        <is>
          <t>P.1</t>
        </is>
      </c>
    </row>
    <row r="26">
      <c r="A26" s="14" t="inlineStr">
        <is>
          <t>Sheet #5</t>
        </is>
      </c>
      <c r="B26" s="25" t="inlineStr">
        <is>
          <t>2400 × 1200</t>
        </is>
      </c>
      <c r="C26" s="25" t="n">
        <v>1</v>
      </c>
      <c r="D26" s="30" t="n">
        <v>1.322</v>
      </c>
      <c r="E26" s="30" t="n">
        <v>2.88</v>
      </c>
      <c r="F26" s="17" t="n">
        <v>0.4591</v>
      </c>
      <c r="G26" s="17" t="n">
        <v>0.5409</v>
      </c>
      <c r="H26" s="26" t="inlineStr">
        <is>
          <t>AP-008</t>
        </is>
      </c>
      <c r="I26" s="25" t="inlineStr">
        <is>
          <t>P.1</t>
        </is>
      </c>
    </row>
    <row r="27">
      <c r="A27" s="9" t="inlineStr">
        <is>
          <t>Sheet #6</t>
        </is>
      </c>
      <c r="B27" s="27" t="inlineStr">
        <is>
          <t>2400 × 1200</t>
        </is>
      </c>
      <c r="C27" s="27" t="n">
        <v>1</v>
      </c>
      <c r="D27" s="32" t="n">
        <v>1.493</v>
      </c>
      <c r="E27" s="32" t="n">
        <v>2.88</v>
      </c>
      <c r="F27" s="12" t="n">
        <v>0.5185</v>
      </c>
      <c r="G27" s="12" t="n">
        <v>0.4815</v>
      </c>
      <c r="H27" s="28" t="inlineStr">
        <is>
          <t>AP-024</t>
        </is>
      </c>
      <c r="I27" s="27" t="inlineStr">
        <is>
          <t>P.3</t>
        </is>
      </c>
    </row>
    <row r="28">
      <c r="A28" s="14" t="inlineStr">
        <is>
          <t>Sheet #7</t>
        </is>
      </c>
      <c r="B28" s="25" t="inlineStr">
        <is>
          <t>2400 × 1200</t>
        </is>
      </c>
      <c r="C28" s="25" t="n">
        <v>1</v>
      </c>
      <c r="D28" s="30" t="n">
        <v>1.493</v>
      </c>
      <c r="E28" s="30" t="n">
        <v>2.88</v>
      </c>
      <c r="F28" s="17" t="n">
        <v>0.5185</v>
      </c>
      <c r="G28" s="17" t="n">
        <v>0.4815</v>
      </c>
      <c r="H28" s="26" t="inlineStr">
        <is>
          <t>AP-025</t>
        </is>
      </c>
      <c r="I28" s="25" t="inlineStr">
        <is>
          <t>P.3</t>
        </is>
      </c>
    </row>
    <row r="29">
      <c r="A29" s="9" t="inlineStr">
        <is>
          <t>Sheet #8</t>
        </is>
      </c>
      <c r="B29" s="27" t="inlineStr">
        <is>
          <t>2400 × 1200</t>
        </is>
      </c>
      <c r="C29" s="27" t="n">
        <v>1</v>
      </c>
      <c r="D29" s="32" t="n">
        <v>1.493</v>
      </c>
      <c r="E29" s="32" t="n">
        <v>2.88</v>
      </c>
      <c r="F29" s="12" t="n">
        <v>0.5185</v>
      </c>
      <c r="G29" s="12" t="n">
        <v>0.4815</v>
      </c>
      <c r="H29" s="28" t="inlineStr">
        <is>
          <t>AP-026</t>
        </is>
      </c>
      <c r="I29" s="27" t="inlineStr">
        <is>
          <t>P.3</t>
        </is>
      </c>
    </row>
    <row r="30">
      <c r="A30" s="14" t="inlineStr">
        <is>
          <t>Sheet #9</t>
        </is>
      </c>
      <c r="B30" s="25" t="inlineStr">
        <is>
          <t>2400 × 1200</t>
        </is>
      </c>
      <c r="C30" s="25" t="n">
        <v>1</v>
      </c>
      <c r="D30" s="30" t="n">
        <v>1.493</v>
      </c>
      <c r="E30" s="30" t="n">
        <v>2.88</v>
      </c>
      <c r="F30" s="17" t="n">
        <v>0.5185</v>
      </c>
      <c r="G30" s="17" t="n">
        <v>0.4815</v>
      </c>
      <c r="H30" s="26" t="inlineStr">
        <is>
          <t>AP-027</t>
        </is>
      </c>
      <c r="I30" s="25" t="inlineStr">
        <is>
          <t>P.3</t>
        </is>
      </c>
    </row>
    <row r="31">
      <c r="A31" s="9" t="inlineStr">
        <is>
          <t>Sheet #10</t>
        </is>
      </c>
      <c r="B31" s="27" t="inlineStr">
        <is>
          <t>2400 × 1200</t>
        </is>
      </c>
      <c r="C31" s="27" t="n">
        <v>1</v>
      </c>
      <c r="D31" s="32" t="n">
        <v>1.493</v>
      </c>
      <c r="E31" s="32" t="n">
        <v>2.88</v>
      </c>
      <c r="F31" s="12" t="n">
        <v>0.5185</v>
      </c>
      <c r="G31" s="12" t="n">
        <v>0.4815</v>
      </c>
      <c r="H31" s="28" t="inlineStr">
        <is>
          <t>AP-028</t>
        </is>
      </c>
      <c r="I31" s="27" t="inlineStr">
        <is>
          <t>P.3</t>
        </is>
      </c>
    </row>
    <row r="32">
      <c r="A32" s="14" t="inlineStr">
        <is>
          <t>Sheet #11</t>
        </is>
      </c>
      <c r="B32" s="25" t="inlineStr">
        <is>
          <t>2400 × 1200</t>
        </is>
      </c>
      <c r="C32" s="25" t="n">
        <v>1</v>
      </c>
      <c r="D32" s="30" t="n">
        <v>1.493</v>
      </c>
      <c r="E32" s="30" t="n">
        <v>2.88</v>
      </c>
      <c r="F32" s="17" t="n">
        <v>0.5185</v>
      </c>
      <c r="G32" s="17" t="n">
        <v>0.4815</v>
      </c>
      <c r="H32" s="26" t="inlineStr">
        <is>
          <t>AP-029</t>
        </is>
      </c>
      <c r="I32" s="25" t="inlineStr">
        <is>
          <t>P.3</t>
        </is>
      </c>
    </row>
    <row r="33">
      <c r="A33" s="9" t="inlineStr">
        <is>
          <t>Sheet #12</t>
        </is>
      </c>
      <c r="B33" s="27" t="inlineStr">
        <is>
          <t>2400 × 1200</t>
        </is>
      </c>
      <c r="C33" s="27" t="n">
        <v>1</v>
      </c>
      <c r="D33" s="32" t="n">
        <v>0.98</v>
      </c>
      <c r="E33" s="32" t="n">
        <v>2.88</v>
      </c>
      <c r="F33" s="12" t="n">
        <v>0.3403</v>
      </c>
      <c r="G33" s="12" t="n">
        <v>0.6597</v>
      </c>
      <c r="H33" s="28" t="inlineStr">
        <is>
          <t>AP-002</t>
        </is>
      </c>
      <c r="I33" s="27" t="inlineStr">
        <is>
          <t>P.1</t>
        </is>
      </c>
    </row>
    <row r="34">
      <c r="A34" s="14" t="inlineStr">
        <is>
          <t>Sheet #13</t>
        </is>
      </c>
      <c r="B34" s="25" t="inlineStr">
        <is>
          <t>2400 × 1200</t>
        </is>
      </c>
      <c r="C34" s="25" t="n">
        <v>1</v>
      </c>
      <c r="D34" s="30" t="n">
        <v>0.98</v>
      </c>
      <c r="E34" s="30" t="n">
        <v>2.88</v>
      </c>
      <c r="F34" s="17" t="n">
        <v>0.3403</v>
      </c>
      <c r="G34" s="17" t="n">
        <v>0.6597</v>
      </c>
      <c r="H34" s="26" t="inlineStr">
        <is>
          <t>AP-003</t>
        </is>
      </c>
      <c r="I34" s="25" t="inlineStr">
        <is>
          <t>P.1</t>
        </is>
      </c>
    </row>
    <row r="35">
      <c r="A35" s="9" t="inlineStr">
        <is>
          <t>Sheet #14</t>
        </is>
      </c>
      <c r="B35" s="27" t="inlineStr">
        <is>
          <t>2400 × 1200</t>
        </is>
      </c>
      <c r="C35" s="27" t="n">
        <v>1</v>
      </c>
      <c r="D35" s="32" t="n">
        <v>0.98</v>
      </c>
      <c r="E35" s="32" t="n">
        <v>2.88</v>
      </c>
      <c r="F35" s="12" t="n">
        <v>0.3403</v>
      </c>
      <c r="G35" s="12" t="n">
        <v>0.6597</v>
      </c>
      <c r="H35" s="28" t="inlineStr">
        <is>
          <t>AP-004</t>
        </is>
      </c>
      <c r="I35" s="27" t="inlineStr">
        <is>
          <t>P.1</t>
        </is>
      </c>
    </row>
    <row r="36">
      <c r="A36" s="14" t="inlineStr">
        <is>
          <t>Sheet #15</t>
        </is>
      </c>
      <c r="B36" s="25" t="inlineStr">
        <is>
          <t>2400 × 1200</t>
        </is>
      </c>
      <c r="C36" s="25" t="n">
        <v>2</v>
      </c>
      <c r="D36" s="30" t="n">
        <v>1.921</v>
      </c>
      <c r="E36" s="30" t="n">
        <v>2.88</v>
      </c>
      <c r="F36" s="17" t="n">
        <v>0.6670999999999999</v>
      </c>
      <c r="G36" s="17" t="n">
        <v>0.3329</v>
      </c>
      <c r="H36" s="26" t="inlineStr">
        <is>
          <t>AP-005, AP-011</t>
        </is>
      </c>
      <c r="I36" s="25" t="inlineStr">
        <is>
          <t>P.1</t>
        </is>
      </c>
    </row>
    <row r="37">
      <c r="A37" s="9" t="inlineStr">
        <is>
          <t>Sheet #16</t>
        </is>
      </c>
      <c r="B37" s="27" t="inlineStr">
        <is>
          <t>2400 × 1200</t>
        </is>
      </c>
      <c r="C37" s="27" t="n">
        <v>2</v>
      </c>
      <c r="D37" s="32" t="n">
        <v>1.882</v>
      </c>
      <c r="E37" s="32" t="n">
        <v>2.88</v>
      </c>
      <c r="F37" s="12" t="n">
        <v>0.6535</v>
      </c>
      <c r="G37" s="12" t="n">
        <v>0.3465</v>
      </c>
      <c r="H37" s="28" t="inlineStr">
        <is>
          <t>AP-012, AP-013</t>
        </is>
      </c>
      <c r="I37" s="27" t="inlineStr">
        <is>
          <t>P.1</t>
        </is>
      </c>
    </row>
    <row r="38">
      <c r="A38" s="14" t="inlineStr">
        <is>
          <t>Sheet #17</t>
        </is>
      </c>
      <c r="B38" s="25" t="inlineStr">
        <is>
          <t>2400 × 1200</t>
        </is>
      </c>
      <c r="C38" s="25" t="n">
        <v>2</v>
      </c>
      <c r="D38" s="30" t="n">
        <v>0.997</v>
      </c>
      <c r="E38" s="30" t="n">
        <v>2.88</v>
      </c>
      <c r="F38" s="17" t="n">
        <v>0.3462</v>
      </c>
      <c r="G38" s="17" t="n">
        <v>0.6537999999999999</v>
      </c>
      <c r="H38" s="26" t="inlineStr">
        <is>
          <t>AP-014, AP-001</t>
        </is>
      </c>
      <c r="I38" s="25" t="inlineStr">
        <is>
          <t>P.1</t>
        </is>
      </c>
    </row>
    <row r="39">
      <c r="A39" s="19" t="inlineStr">
        <is>
          <t>SUBTOTAL: Polyester 9mm</t>
        </is>
      </c>
      <c r="B39" s="22" t="inlineStr">
        <is>
          <t>-</t>
        </is>
      </c>
      <c r="C39" s="19">
        <f>SUM(C22:C38)</f>
        <v/>
      </c>
      <c r="D39" s="33">
        <f>SUM(D22:D38)</f>
        <v/>
      </c>
      <c r="E39" s="33">
        <f>SUM(E22:E38)</f>
        <v/>
      </c>
      <c r="F39" s="21">
        <f>D39/E39</f>
        <v/>
      </c>
      <c r="G39" s="21">
        <f>1-F39</f>
        <v/>
      </c>
      <c r="H39" s="22" t="inlineStr">
        <is>
          <t>-</t>
        </is>
      </c>
      <c r="I39" s="22" t="inlineStr">
        <is>
          <t>-</t>
        </is>
      </c>
    </row>
    <row r="40"/>
    <row r="41">
      <c r="A41" s="3" t="inlineStr">
        <is>
          <t>CNC SHOP CUTTING COORDINATES — POLYESTER 9MM</t>
        </is>
      </c>
    </row>
    <row r="42">
      <c r="A42" s="24" t="inlineStr">
        <is>
          <t>Sheet #</t>
        </is>
      </c>
      <c r="B42" s="24" t="inlineStr">
        <is>
          <t>Panel Tag</t>
        </is>
      </c>
      <c r="C42" s="24" t="inlineStr">
        <is>
          <t>Page No.</t>
        </is>
      </c>
      <c r="D42" s="24" t="inlineStr">
        <is>
          <t>Room Name</t>
        </is>
      </c>
      <c r="E42" s="24" t="inlineStr">
        <is>
          <t>Cut X (mm)</t>
        </is>
      </c>
      <c r="F42" s="24" t="inlineStr">
        <is>
          <t>Cut Y (mm)</t>
        </is>
      </c>
      <c r="G42" s="24" t="inlineStr">
        <is>
          <t>Length (mm)</t>
        </is>
      </c>
      <c r="H42" s="24" t="inlineStr">
        <is>
          <t>Width (mm)</t>
        </is>
      </c>
      <c r="I42" s="24" t="inlineStr">
        <is>
          <t>Rotated 90°</t>
        </is>
      </c>
    </row>
    <row r="43">
      <c r="A43" s="27" t="inlineStr">
        <is>
          <t>Sheet #1</t>
        </is>
      </c>
      <c r="B43" s="9" t="inlineStr">
        <is>
          <t>AP-009</t>
        </is>
      </c>
      <c r="C43" s="27" t="inlineStr">
        <is>
          <t>Page 1</t>
        </is>
      </c>
      <c r="D43" s="28" t="inlineStr">
        <is>
          <t>LEVEL 4 ACOUSTIC WALL &amp; CEILING FITOUT</t>
        </is>
      </c>
      <c r="E43" s="31" t="n">
        <v>10</v>
      </c>
      <c r="F43" s="31" t="n">
        <v>10</v>
      </c>
      <c r="G43" s="31" t="n">
        <v>2293.1</v>
      </c>
      <c r="H43" s="31" t="n">
        <v>705.6</v>
      </c>
      <c r="I43" s="27" t="inlineStr">
        <is>
          <t>NO</t>
        </is>
      </c>
    </row>
    <row r="44">
      <c r="A44" s="25" t="inlineStr">
        <is>
          <t>Sheet #2</t>
        </is>
      </c>
      <c r="B44" s="14" t="inlineStr">
        <is>
          <t>AP-010</t>
        </is>
      </c>
      <c r="C44" s="25" t="inlineStr">
        <is>
          <t>Page 1</t>
        </is>
      </c>
      <c r="D44" s="26" t="inlineStr">
        <is>
          <t>LEVEL 4 ACOUSTIC WALL &amp; CEILING FITOUT</t>
        </is>
      </c>
      <c r="E44" s="29" t="n">
        <v>10</v>
      </c>
      <c r="F44" s="29" t="n">
        <v>10</v>
      </c>
      <c r="G44" s="29" t="n">
        <v>2116.7</v>
      </c>
      <c r="H44" s="29" t="n">
        <v>705.6</v>
      </c>
      <c r="I44" s="25" t="inlineStr">
        <is>
          <t>NO</t>
        </is>
      </c>
    </row>
    <row r="45">
      <c r="A45" s="27" t="inlineStr">
        <is>
          <t>Sheet #3</t>
        </is>
      </c>
      <c r="B45" s="9" t="inlineStr">
        <is>
          <t>AP-006</t>
        </is>
      </c>
      <c r="C45" s="27" t="inlineStr">
        <is>
          <t>Page 1</t>
        </is>
      </c>
      <c r="D45" s="28" t="inlineStr">
        <is>
          <t>LEVEL 4 ACOUSTIC WALL &amp; CEILING FITOUT</t>
        </is>
      </c>
      <c r="E45" s="31" t="n">
        <v>10</v>
      </c>
      <c r="F45" s="31" t="n">
        <v>10</v>
      </c>
      <c r="G45" s="31" t="n">
        <v>1499.3</v>
      </c>
      <c r="H45" s="31" t="n">
        <v>881.9</v>
      </c>
      <c r="I45" s="27" t="inlineStr">
        <is>
          <t>NO</t>
        </is>
      </c>
    </row>
    <row r="46">
      <c r="A46" s="25" t="inlineStr">
        <is>
          <t>Sheet #4</t>
        </is>
      </c>
      <c r="B46" s="14" t="inlineStr">
        <is>
          <t>AP-007</t>
        </is>
      </c>
      <c r="C46" s="25" t="inlineStr">
        <is>
          <t>Page 1</t>
        </is>
      </c>
      <c r="D46" s="26" t="inlineStr">
        <is>
          <t>LEVEL 4 ACOUSTIC WALL &amp; CEILING FITOUT</t>
        </is>
      </c>
      <c r="E46" s="29" t="n">
        <v>10</v>
      </c>
      <c r="F46" s="29" t="n">
        <v>10</v>
      </c>
      <c r="G46" s="29" t="n">
        <v>1499.3</v>
      </c>
      <c r="H46" s="29" t="n">
        <v>881.9</v>
      </c>
      <c r="I46" s="25" t="inlineStr">
        <is>
          <t>NO</t>
        </is>
      </c>
    </row>
    <row r="47">
      <c r="A47" s="27" t="inlineStr">
        <is>
          <t>Sheet #5</t>
        </is>
      </c>
      <c r="B47" s="9" t="inlineStr">
        <is>
          <t>AP-008</t>
        </is>
      </c>
      <c r="C47" s="27" t="inlineStr">
        <is>
          <t>Page 1</t>
        </is>
      </c>
      <c r="D47" s="28" t="inlineStr">
        <is>
          <t>LEVEL 4 ACOUSTIC WALL &amp; CEILING FITOUT</t>
        </is>
      </c>
      <c r="E47" s="31" t="n">
        <v>10</v>
      </c>
      <c r="F47" s="31" t="n">
        <v>10</v>
      </c>
      <c r="G47" s="31" t="n">
        <v>1499.3</v>
      </c>
      <c r="H47" s="31" t="n">
        <v>881.9</v>
      </c>
      <c r="I47" s="27" t="inlineStr">
        <is>
          <t>NO</t>
        </is>
      </c>
    </row>
    <row r="48">
      <c r="A48" s="25" t="inlineStr">
        <is>
          <t>Sheet #6</t>
        </is>
      </c>
      <c r="B48" s="14" t="inlineStr">
        <is>
          <t>AP-024</t>
        </is>
      </c>
      <c r="C48" s="25" t="inlineStr">
        <is>
          <t>Page 3</t>
        </is>
      </c>
      <c r="D48" s="26" t="inlineStr">
        <is>
          <t>LEVEL 5 AUDITORIUM ACOUSTIC TREATMENT</t>
        </is>
      </c>
      <c r="E48" s="29" t="n">
        <v>10</v>
      </c>
      <c r="F48" s="29" t="n">
        <v>10</v>
      </c>
      <c r="G48" s="29" t="n">
        <v>1411.1</v>
      </c>
      <c r="H48" s="29" t="n">
        <v>1058.3</v>
      </c>
      <c r="I48" s="25" t="inlineStr">
        <is>
          <t>NO</t>
        </is>
      </c>
    </row>
    <row r="49">
      <c r="A49" s="27" t="inlineStr">
        <is>
          <t>Sheet #7</t>
        </is>
      </c>
      <c r="B49" s="9" t="inlineStr">
        <is>
          <t>AP-025</t>
        </is>
      </c>
      <c r="C49" s="27" t="inlineStr">
        <is>
          <t>Page 3</t>
        </is>
      </c>
      <c r="D49" s="28" t="inlineStr">
        <is>
          <t>LEVEL 5 AUDITORIUM ACOUSTIC TREATMENT</t>
        </is>
      </c>
      <c r="E49" s="31" t="n">
        <v>10</v>
      </c>
      <c r="F49" s="31" t="n">
        <v>10</v>
      </c>
      <c r="G49" s="31" t="n">
        <v>1411.1</v>
      </c>
      <c r="H49" s="31" t="n">
        <v>1058.3</v>
      </c>
      <c r="I49" s="27" t="inlineStr">
        <is>
          <t>NO</t>
        </is>
      </c>
    </row>
    <row r="50">
      <c r="A50" s="25" t="inlineStr">
        <is>
          <t>Sheet #8</t>
        </is>
      </c>
      <c r="B50" s="14" t="inlineStr">
        <is>
          <t>AP-026</t>
        </is>
      </c>
      <c r="C50" s="25" t="inlineStr">
        <is>
          <t>Page 3</t>
        </is>
      </c>
      <c r="D50" s="26" t="inlineStr">
        <is>
          <t>LEVEL 5 AUDITORIUM ACOUSTIC TREATMENT</t>
        </is>
      </c>
      <c r="E50" s="29" t="n">
        <v>10</v>
      </c>
      <c r="F50" s="29" t="n">
        <v>10</v>
      </c>
      <c r="G50" s="29" t="n">
        <v>1411.1</v>
      </c>
      <c r="H50" s="29" t="n">
        <v>1058.3</v>
      </c>
      <c r="I50" s="25" t="inlineStr">
        <is>
          <t>NO</t>
        </is>
      </c>
    </row>
    <row r="51">
      <c r="A51" s="27" t="inlineStr">
        <is>
          <t>Sheet #9</t>
        </is>
      </c>
      <c r="B51" s="9" t="inlineStr">
        <is>
          <t>AP-027</t>
        </is>
      </c>
      <c r="C51" s="27" t="inlineStr">
        <is>
          <t>Page 3</t>
        </is>
      </c>
      <c r="D51" s="28" t="inlineStr">
        <is>
          <t>LEVEL 5 AUDITORIUM ACOUSTIC TREATMENT</t>
        </is>
      </c>
      <c r="E51" s="31" t="n">
        <v>10</v>
      </c>
      <c r="F51" s="31" t="n">
        <v>10</v>
      </c>
      <c r="G51" s="31" t="n">
        <v>1411.1</v>
      </c>
      <c r="H51" s="31" t="n">
        <v>1058.3</v>
      </c>
      <c r="I51" s="27" t="inlineStr">
        <is>
          <t>NO</t>
        </is>
      </c>
    </row>
    <row r="52">
      <c r="A52" s="25" t="inlineStr">
        <is>
          <t>Sheet #10</t>
        </is>
      </c>
      <c r="B52" s="14" t="inlineStr">
        <is>
          <t>AP-028</t>
        </is>
      </c>
      <c r="C52" s="25" t="inlineStr">
        <is>
          <t>Page 3</t>
        </is>
      </c>
      <c r="D52" s="26" t="inlineStr">
        <is>
          <t>LEVEL 5 AUDITORIUM ACOUSTIC TREATMENT</t>
        </is>
      </c>
      <c r="E52" s="29" t="n">
        <v>10</v>
      </c>
      <c r="F52" s="29" t="n">
        <v>10</v>
      </c>
      <c r="G52" s="29" t="n">
        <v>1411.1</v>
      </c>
      <c r="H52" s="29" t="n">
        <v>1058.3</v>
      </c>
      <c r="I52" s="25" t="inlineStr">
        <is>
          <t>NO</t>
        </is>
      </c>
    </row>
    <row r="53">
      <c r="A53" s="27" t="inlineStr">
        <is>
          <t>Sheet #11</t>
        </is>
      </c>
      <c r="B53" s="9" t="inlineStr">
        <is>
          <t>AP-029</t>
        </is>
      </c>
      <c r="C53" s="27" t="inlineStr">
        <is>
          <t>Page 3</t>
        </is>
      </c>
      <c r="D53" s="28" t="inlineStr">
        <is>
          <t>LEVEL 5 AUDITORIUM ACOUSTIC TREATMENT</t>
        </is>
      </c>
      <c r="E53" s="31" t="n">
        <v>10</v>
      </c>
      <c r="F53" s="31" t="n">
        <v>10</v>
      </c>
      <c r="G53" s="31" t="n">
        <v>1411.1</v>
      </c>
      <c r="H53" s="31" t="n">
        <v>1058.3</v>
      </c>
      <c r="I53" s="27" t="inlineStr">
        <is>
          <t>NO</t>
        </is>
      </c>
    </row>
    <row r="54">
      <c r="A54" s="25" t="inlineStr">
        <is>
          <t>Sheet #12</t>
        </is>
      </c>
      <c r="B54" s="14" t="inlineStr">
        <is>
          <t>AP-002</t>
        </is>
      </c>
      <c r="C54" s="25" t="inlineStr">
        <is>
          <t>Page 1</t>
        </is>
      </c>
      <c r="D54" s="26" t="inlineStr">
        <is>
          <t>LEVEL 4 ACOUSTIC WALL &amp; CEILING FITOUT</t>
        </is>
      </c>
      <c r="E54" s="29" t="n">
        <v>10</v>
      </c>
      <c r="F54" s="29" t="n">
        <v>10</v>
      </c>
      <c r="G54" s="29" t="n">
        <v>1234.7</v>
      </c>
      <c r="H54" s="29" t="n">
        <v>793.8</v>
      </c>
      <c r="I54" s="25" t="inlineStr">
        <is>
          <t>NO</t>
        </is>
      </c>
    </row>
    <row r="55">
      <c r="A55" s="27" t="inlineStr">
        <is>
          <t>Sheet #13</t>
        </is>
      </c>
      <c r="B55" s="9" t="inlineStr">
        <is>
          <t>AP-003</t>
        </is>
      </c>
      <c r="C55" s="27" t="inlineStr">
        <is>
          <t>Page 1</t>
        </is>
      </c>
      <c r="D55" s="28" t="inlineStr">
        <is>
          <t>LEVEL 4 ACOUSTIC WALL &amp; CEILING FITOUT</t>
        </is>
      </c>
      <c r="E55" s="31" t="n">
        <v>10</v>
      </c>
      <c r="F55" s="31" t="n">
        <v>10</v>
      </c>
      <c r="G55" s="31" t="n">
        <v>1234.7</v>
      </c>
      <c r="H55" s="31" t="n">
        <v>793.8</v>
      </c>
      <c r="I55" s="27" t="inlineStr">
        <is>
          <t>NO</t>
        </is>
      </c>
    </row>
    <row r="56">
      <c r="A56" s="25" t="inlineStr">
        <is>
          <t>Sheet #14</t>
        </is>
      </c>
      <c r="B56" s="14" t="inlineStr">
        <is>
          <t>AP-004</t>
        </is>
      </c>
      <c r="C56" s="25" t="inlineStr">
        <is>
          <t>Page 1</t>
        </is>
      </c>
      <c r="D56" s="26" t="inlineStr">
        <is>
          <t>LEVEL 4 ACOUSTIC WALL &amp; CEILING FITOUT</t>
        </is>
      </c>
      <c r="E56" s="29" t="n">
        <v>10</v>
      </c>
      <c r="F56" s="29" t="n">
        <v>10</v>
      </c>
      <c r="G56" s="29" t="n">
        <v>1234.7</v>
      </c>
      <c r="H56" s="29" t="n">
        <v>793.8</v>
      </c>
      <c r="I56" s="25" t="inlineStr">
        <is>
          <t>NO</t>
        </is>
      </c>
    </row>
    <row r="57">
      <c r="A57" s="27" t="inlineStr">
        <is>
          <t>Sheet #15</t>
        </is>
      </c>
      <c r="B57" s="9" t="inlineStr">
        <is>
          <t>AP-005</t>
        </is>
      </c>
      <c r="C57" s="27" t="inlineStr">
        <is>
          <t>Page 1</t>
        </is>
      </c>
      <c r="D57" s="28" t="inlineStr">
        <is>
          <t>LEVEL 4 ACOUSTIC WALL &amp; CEILING FITOUT</t>
        </is>
      </c>
      <c r="E57" s="31" t="n">
        <v>10</v>
      </c>
      <c r="F57" s="31" t="n">
        <v>10</v>
      </c>
      <c r="G57" s="31" t="n">
        <v>1234.7</v>
      </c>
      <c r="H57" s="31" t="n">
        <v>793.8</v>
      </c>
      <c r="I57" s="27" t="inlineStr">
        <is>
          <t>NO</t>
        </is>
      </c>
    </row>
    <row r="58">
      <c r="A58" s="25" t="inlineStr">
        <is>
          <t>Sheet #15</t>
        </is>
      </c>
      <c r="B58" s="14" t="inlineStr">
        <is>
          <t>AP-011</t>
        </is>
      </c>
      <c r="C58" s="25" t="inlineStr">
        <is>
          <t>Page 1</t>
        </is>
      </c>
      <c r="D58" s="26" t="inlineStr">
        <is>
          <t>LEVEL 4 ACOUSTIC WALL &amp; CEILING FITOUT</t>
        </is>
      </c>
      <c r="E58" s="29" t="n">
        <v>1247.7</v>
      </c>
      <c r="F58" s="29" t="n">
        <v>10</v>
      </c>
      <c r="G58" s="29" t="n">
        <v>970.1</v>
      </c>
      <c r="H58" s="29" t="n">
        <v>970.1</v>
      </c>
      <c r="I58" s="25" t="inlineStr">
        <is>
          <t>NO</t>
        </is>
      </c>
    </row>
    <row r="59">
      <c r="A59" s="27" t="inlineStr">
        <is>
          <t>Sheet #16</t>
        </is>
      </c>
      <c r="B59" s="9" t="inlineStr">
        <is>
          <t>AP-012</t>
        </is>
      </c>
      <c r="C59" s="27" t="inlineStr">
        <is>
          <t>Page 1</t>
        </is>
      </c>
      <c r="D59" s="28" t="inlineStr">
        <is>
          <t>LEVEL 4 ACOUSTIC WALL &amp; CEILING FITOUT</t>
        </is>
      </c>
      <c r="E59" s="31" t="n">
        <v>10</v>
      </c>
      <c r="F59" s="31" t="n">
        <v>10</v>
      </c>
      <c r="G59" s="31" t="n">
        <v>970.1</v>
      </c>
      <c r="H59" s="31" t="n">
        <v>970.1</v>
      </c>
      <c r="I59" s="27" t="inlineStr">
        <is>
          <t>NO</t>
        </is>
      </c>
    </row>
    <row r="60">
      <c r="A60" s="25" t="inlineStr">
        <is>
          <t>Sheet #16</t>
        </is>
      </c>
      <c r="B60" s="14" t="inlineStr">
        <is>
          <t>AP-013</t>
        </is>
      </c>
      <c r="C60" s="25" t="inlineStr">
        <is>
          <t>Page 1</t>
        </is>
      </c>
      <c r="D60" s="26" t="inlineStr">
        <is>
          <t>LEVEL 4 ACOUSTIC WALL &amp; CEILING FITOUT</t>
        </is>
      </c>
      <c r="E60" s="29" t="n">
        <v>983.1</v>
      </c>
      <c r="F60" s="29" t="n">
        <v>10</v>
      </c>
      <c r="G60" s="29" t="n">
        <v>970.1</v>
      </c>
      <c r="H60" s="29" t="n">
        <v>970.1</v>
      </c>
      <c r="I60" s="25" t="inlineStr">
        <is>
          <t>NO</t>
        </is>
      </c>
    </row>
    <row r="61">
      <c r="A61" s="27" t="inlineStr">
        <is>
          <t>Sheet #17</t>
        </is>
      </c>
      <c r="B61" s="9" t="inlineStr">
        <is>
          <t>AP-014</t>
        </is>
      </c>
      <c r="C61" s="27" t="inlineStr">
        <is>
          <t>Page 1</t>
        </is>
      </c>
      <c r="D61" s="28" t="inlineStr">
        <is>
          <t>LEVEL 4 ACOUSTIC WALL &amp; CEILING FITOUT</t>
        </is>
      </c>
      <c r="E61" s="31" t="n">
        <v>10</v>
      </c>
      <c r="F61" s="31" t="n">
        <v>10</v>
      </c>
      <c r="G61" s="31" t="n">
        <v>970.1</v>
      </c>
      <c r="H61" s="31" t="n">
        <v>970.1</v>
      </c>
      <c r="I61" s="27" t="inlineStr">
        <is>
          <t>NO</t>
        </is>
      </c>
    </row>
    <row r="62">
      <c r="A62" s="25" t="inlineStr">
        <is>
          <t>Sheet #17</t>
        </is>
      </c>
      <c r="B62" s="14" t="inlineStr">
        <is>
          <t>AP-001</t>
        </is>
      </c>
      <c r="C62" s="25" t="inlineStr">
        <is>
          <t>Page 1</t>
        </is>
      </c>
      <c r="D62" s="26" t="inlineStr">
        <is>
          <t>LEVEL 4 ACOUSTIC WALL &amp; CEILING FITOUT</t>
        </is>
      </c>
      <c r="E62" s="29" t="n">
        <v>983.1</v>
      </c>
      <c r="F62" s="29" t="n">
        <v>10</v>
      </c>
      <c r="G62" s="29" t="n">
        <v>264.6</v>
      </c>
      <c r="H62" s="29" t="n">
        <v>211.7</v>
      </c>
      <c r="I62" s="25" t="inlineStr">
        <is>
          <t>NO</t>
        </is>
      </c>
    </row>
    <row r="63"/>
    <row r="64"/>
    <row r="65"/>
    <row r="66">
      <c r="A66" s="35" t="inlineStr">
        <is>
          <t>MATERIAL: WOOD SLAT PANEL — NESTING CUT PLAN (6 SHEETS)</t>
        </is>
      </c>
    </row>
    <row r="67">
      <c r="A67" s="24" t="inlineStr">
        <is>
          <t>Stock Sheet #</t>
        </is>
      </c>
      <c r="B67" s="24" t="inlineStr">
        <is>
          <t>Stock Size (mm)</t>
        </is>
      </c>
      <c r="C67" s="24" t="inlineStr">
        <is>
          <t>Pieces Placed</t>
        </is>
      </c>
      <c r="D67" s="24" t="inlineStr">
        <is>
          <t>Used Area (m²)</t>
        </is>
      </c>
      <c r="E67" s="24" t="inlineStr">
        <is>
          <t>Sheet Area (m²)</t>
        </is>
      </c>
      <c r="F67" s="24" t="inlineStr">
        <is>
          <t>Yield %</t>
        </is>
      </c>
      <c r="G67" s="24" t="inlineStr">
        <is>
          <t>Waste %</t>
        </is>
      </c>
      <c r="H67" s="24" t="inlineStr">
        <is>
          <t>Items Nested on Sheet</t>
        </is>
      </c>
      <c r="I67" s="24" t="inlineStr">
        <is>
          <t>Origin Pages</t>
        </is>
      </c>
    </row>
    <row r="68">
      <c r="A68" s="14" t="inlineStr">
        <is>
          <t>Sheet #1</t>
        </is>
      </c>
      <c r="B68" s="25" t="inlineStr">
        <is>
          <t>2400 × 1200</t>
        </is>
      </c>
      <c r="C68" s="25" t="n">
        <v>1</v>
      </c>
      <c r="D68" s="30" t="n">
        <v>1.089</v>
      </c>
      <c r="E68" s="30" t="n">
        <v>2.88</v>
      </c>
      <c r="F68" s="17" t="n">
        <v>0.3781</v>
      </c>
      <c r="G68" s="17" t="n">
        <v>0.6219</v>
      </c>
      <c r="H68" s="26" t="inlineStr">
        <is>
          <t>AP-018</t>
        </is>
      </c>
      <c r="I68" s="25" t="inlineStr">
        <is>
          <t>P.1</t>
        </is>
      </c>
    </row>
    <row r="69">
      <c r="A69" s="9" t="inlineStr">
        <is>
          <t>Sheet #2</t>
        </is>
      </c>
      <c r="B69" s="27" t="inlineStr">
        <is>
          <t>2400 × 1200</t>
        </is>
      </c>
      <c r="C69" s="27" t="n">
        <v>1</v>
      </c>
      <c r="D69" s="32" t="n">
        <v>1.089</v>
      </c>
      <c r="E69" s="32" t="n">
        <v>2.88</v>
      </c>
      <c r="F69" s="12" t="n">
        <v>0.3781</v>
      </c>
      <c r="G69" s="12" t="n">
        <v>0.6219</v>
      </c>
      <c r="H69" s="28" t="inlineStr">
        <is>
          <t>AP-019</t>
        </is>
      </c>
      <c r="I69" s="27" t="inlineStr">
        <is>
          <t>P.1</t>
        </is>
      </c>
    </row>
    <row r="70">
      <c r="A70" s="14" t="inlineStr">
        <is>
          <t>Sheet #3</t>
        </is>
      </c>
      <c r="B70" s="25" t="inlineStr">
        <is>
          <t>2400 × 1200</t>
        </is>
      </c>
      <c r="C70" s="25" t="n">
        <v>1</v>
      </c>
      <c r="D70" s="30" t="n">
        <v>1.089</v>
      </c>
      <c r="E70" s="30" t="n">
        <v>2.88</v>
      </c>
      <c r="F70" s="17" t="n">
        <v>0.3781</v>
      </c>
      <c r="G70" s="17" t="n">
        <v>0.6219</v>
      </c>
      <c r="H70" s="26" t="inlineStr">
        <is>
          <t>AP-020</t>
        </is>
      </c>
      <c r="I70" s="25" t="inlineStr">
        <is>
          <t>P.1</t>
        </is>
      </c>
    </row>
    <row r="71">
      <c r="A71" s="9" t="inlineStr">
        <is>
          <t>Sheet #4</t>
        </is>
      </c>
      <c r="B71" s="27" t="inlineStr">
        <is>
          <t>2400 × 1200</t>
        </is>
      </c>
      <c r="C71" s="27" t="n">
        <v>1</v>
      </c>
      <c r="D71" s="32" t="n">
        <v>1.089</v>
      </c>
      <c r="E71" s="32" t="n">
        <v>2.88</v>
      </c>
      <c r="F71" s="12" t="n">
        <v>0.3781</v>
      </c>
      <c r="G71" s="12" t="n">
        <v>0.6219</v>
      </c>
      <c r="H71" s="28" t="inlineStr">
        <is>
          <t>AP-021</t>
        </is>
      </c>
      <c r="I71" s="27" t="inlineStr">
        <is>
          <t>P.1</t>
        </is>
      </c>
    </row>
    <row r="72">
      <c r="A72" s="14" t="inlineStr">
        <is>
          <t>Sheet #5</t>
        </is>
      </c>
      <c r="B72" s="25" t="inlineStr">
        <is>
          <t>2400 × 1200</t>
        </is>
      </c>
      <c r="C72" s="25" t="n">
        <v>1</v>
      </c>
      <c r="D72" s="30" t="n">
        <v>1.089</v>
      </c>
      <c r="E72" s="30" t="n">
        <v>2.88</v>
      </c>
      <c r="F72" s="17" t="n">
        <v>0.3781</v>
      </c>
      <c r="G72" s="17" t="n">
        <v>0.6219</v>
      </c>
      <c r="H72" s="26" t="inlineStr">
        <is>
          <t>AP-022</t>
        </is>
      </c>
      <c r="I72" s="25" t="inlineStr">
        <is>
          <t>P.1</t>
        </is>
      </c>
    </row>
    <row r="73">
      <c r="A73" s="9" t="inlineStr">
        <is>
          <t>Sheet #6</t>
        </is>
      </c>
      <c r="B73" s="27" t="inlineStr">
        <is>
          <t>2400 × 1200</t>
        </is>
      </c>
      <c r="C73" s="27" t="n">
        <v>2</v>
      </c>
      <c r="D73" s="32" t="n">
        <v>1.145</v>
      </c>
      <c r="E73" s="32" t="n">
        <v>2.88</v>
      </c>
      <c r="F73" s="12" t="n">
        <v>0.3975</v>
      </c>
      <c r="G73" s="12" t="n">
        <v>0.6025</v>
      </c>
      <c r="H73" s="28" t="inlineStr">
        <is>
          <t>AP-023, AP-015</t>
        </is>
      </c>
      <c r="I73" s="27" t="inlineStr">
        <is>
          <t>P.1</t>
        </is>
      </c>
    </row>
    <row r="74">
      <c r="A74" s="19" t="inlineStr">
        <is>
          <t>SUBTOTAL: Wood Slat Panel</t>
        </is>
      </c>
      <c r="B74" s="22" t="inlineStr">
        <is>
          <t>-</t>
        </is>
      </c>
      <c r="C74" s="19">
        <f>SUM(C68:C73)</f>
        <v/>
      </c>
      <c r="D74" s="33">
        <f>SUM(D68:D73)</f>
        <v/>
      </c>
      <c r="E74" s="33">
        <f>SUM(E68:E73)</f>
        <v/>
      </c>
      <c r="F74" s="21">
        <f>D74/E74</f>
        <v/>
      </c>
      <c r="G74" s="21">
        <f>1-F74</f>
        <v/>
      </c>
      <c r="H74" s="22" t="inlineStr">
        <is>
          <t>-</t>
        </is>
      </c>
      <c r="I74" s="22" t="inlineStr">
        <is>
          <t>-</t>
        </is>
      </c>
    </row>
    <row r="75"/>
    <row r="76">
      <c r="A76" s="3" t="inlineStr">
        <is>
          <t>CNC SHOP CUTTING COORDINATES — WOOD SLAT PANEL</t>
        </is>
      </c>
    </row>
    <row r="77">
      <c r="A77" s="24" t="inlineStr">
        <is>
          <t>Sheet #</t>
        </is>
      </c>
      <c r="B77" s="24" t="inlineStr">
        <is>
          <t>Panel Tag</t>
        </is>
      </c>
      <c r="C77" s="24" t="inlineStr">
        <is>
          <t>Page No.</t>
        </is>
      </c>
      <c r="D77" s="24" t="inlineStr">
        <is>
          <t>Room Name</t>
        </is>
      </c>
      <c r="E77" s="24" t="inlineStr">
        <is>
          <t>Cut X (mm)</t>
        </is>
      </c>
      <c r="F77" s="24" t="inlineStr">
        <is>
          <t>Cut Y (mm)</t>
        </is>
      </c>
      <c r="G77" s="24" t="inlineStr">
        <is>
          <t>Length (mm)</t>
        </is>
      </c>
      <c r="H77" s="24" t="inlineStr">
        <is>
          <t>Width (mm)</t>
        </is>
      </c>
      <c r="I77" s="24" t="inlineStr">
        <is>
          <t>Rotated 90°</t>
        </is>
      </c>
    </row>
    <row r="78">
      <c r="A78" s="25" t="inlineStr">
        <is>
          <t>Sheet #1</t>
        </is>
      </c>
      <c r="B78" s="14" t="inlineStr">
        <is>
          <t>AP-018</t>
        </is>
      </c>
      <c r="C78" s="25" t="inlineStr">
        <is>
          <t>Page 1</t>
        </is>
      </c>
      <c r="D78" s="26" t="inlineStr">
        <is>
          <t>LEVEL 4 ACOUSTIC WALL &amp; CEILING FITOUT</t>
        </is>
      </c>
      <c r="E78" s="29" t="n">
        <v>10</v>
      </c>
      <c r="F78" s="29" t="n">
        <v>10</v>
      </c>
      <c r="G78" s="29" t="n">
        <v>1234.7</v>
      </c>
      <c r="H78" s="29" t="n">
        <v>881.9</v>
      </c>
      <c r="I78" s="25" t="inlineStr">
        <is>
          <t>NO</t>
        </is>
      </c>
    </row>
    <row r="79">
      <c r="A79" s="27" t="inlineStr">
        <is>
          <t>Sheet #2</t>
        </is>
      </c>
      <c r="B79" s="9" t="inlineStr">
        <is>
          <t>AP-019</t>
        </is>
      </c>
      <c r="C79" s="27" t="inlineStr">
        <is>
          <t>Page 1</t>
        </is>
      </c>
      <c r="D79" s="28" t="inlineStr">
        <is>
          <t>LEVEL 4 ACOUSTIC WALL &amp; CEILING FITOUT</t>
        </is>
      </c>
      <c r="E79" s="31" t="n">
        <v>10</v>
      </c>
      <c r="F79" s="31" t="n">
        <v>10</v>
      </c>
      <c r="G79" s="31" t="n">
        <v>1234.7</v>
      </c>
      <c r="H79" s="31" t="n">
        <v>881.9</v>
      </c>
      <c r="I79" s="27" t="inlineStr">
        <is>
          <t>NO</t>
        </is>
      </c>
    </row>
    <row r="80">
      <c r="A80" s="25" t="inlineStr">
        <is>
          <t>Sheet #3</t>
        </is>
      </c>
      <c r="B80" s="14" t="inlineStr">
        <is>
          <t>AP-020</t>
        </is>
      </c>
      <c r="C80" s="25" t="inlineStr">
        <is>
          <t>Page 1</t>
        </is>
      </c>
      <c r="D80" s="26" t="inlineStr">
        <is>
          <t>LEVEL 4 ACOUSTIC WALL &amp; CEILING FITOUT</t>
        </is>
      </c>
      <c r="E80" s="29" t="n">
        <v>10</v>
      </c>
      <c r="F80" s="29" t="n">
        <v>10</v>
      </c>
      <c r="G80" s="29" t="n">
        <v>1234.7</v>
      </c>
      <c r="H80" s="29" t="n">
        <v>881.9</v>
      </c>
      <c r="I80" s="25" t="inlineStr">
        <is>
          <t>NO</t>
        </is>
      </c>
    </row>
    <row r="81">
      <c r="A81" s="27" t="inlineStr">
        <is>
          <t>Sheet #4</t>
        </is>
      </c>
      <c r="B81" s="9" t="inlineStr">
        <is>
          <t>AP-021</t>
        </is>
      </c>
      <c r="C81" s="27" t="inlineStr">
        <is>
          <t>Page 1</t>
        </is>
      </c>
      <c r="D81" s="28" t="inlineStr">
        <is>
          <t>LEVEL 4 ACOUSTIC WALL &amp; CEILING FITOUT</t>
        </is>
      </c>
      <c r="E81" s="31" t="n">
        <v>10</v>
      </c>
      <c r="F81" s="31" t="n">
        <v>10</v>
      </c>
      <c r="G81" s="31" t="n">
        <v>1234.7</v>
      </c>
      <c r="H81" s="31" t="n">
        <v>881.9</v>
      </c>
      <c r="I81" s="27" t="inlineStr">
        <is>
          <t>NO</t>
        </is>
      </c>
    </row>
    <row r="82">
      <c r="A82" s="25" t="inlineStr">
        <is>
          <t>Sheet #5</t>
        </is>
      </c>
      <c r="B82" s="14" t="inlineStr">
        <is>
          <t>AP-022</t>
        </is>
      </c>
      <c r="C82" s="25" t="inlineStr">
        <is>
          <t>Page 1</t>
        </is>
      </c>
      <c r="D82" s="26" t="inlineStr">
        <is>
          <t>LEVEL 4 ACOUSTIC WALL &amp; CEILING FITOUT</t>
        </is>
      </c>
      <c r="E82" s="29" t="n">
        <v>10</v>
      </c>
      <c r="F82" s="29" t="n">
        <v>10</v>
      </c>
      <c r="G82" s="29" t="n">
        <v>1234.7</v>
      </c>
      <c r="H82" s="29" t="n">
        <v>881.9</v>
      </c>
      <c r="I82" s="25" t="inlineStr">
        <is>
          <t>NO</t>
        </is>
      </c>
    </row>
    <row r="83">
      <c r="A83" s="27" t="inlineStr">
        <is>
          <t>Sheet #6</t>
        </is>
      </c>
      <c r="B83" s="9" t="inlineStr">
        <is>
          <t>AP-023</t>
        </is>
      </c>
      <c r="C83" s="27" t="inlineStr">
        <is>
          <t>Page 1</t>
        </is>
      </c>
      <c r="D83" s="28" t="inlineStr">
        <is>
          <t>LEVEL 4 ACOUSTIC WALL &amp; CEILING FITOUT</t>
        </is>
      </c>
      <c r="E83" s="31" t="n">
        <v>10</v>
      </c>
      <c r="F83" s="31" t="n">
        <v>10</v>
      </c>
      <c r="G83" s="31" t="n">
        <v>1234.7</v>
      </c>
      <c r="H83" s="31" t="n">
        <v>881.9</v>
      </c>
      <c r="I83" s="27" t="inlineStr">
        <is>
          <t>NO</t>
        </is>
      </c>
    </row>
    <row r="84">
      <c r="A84" s="25" t="inlineStr">
        <is>
          <t>Sheet #6</t>
        </is>
      </c>
      <c r="B84" s="14" t="inlineStr">
        <is>
          <t>AP-015</t>
        </is>
      </c>
      <c r="C84" s="25" t="inlineStr">
        <is>
          <t>Page 1</t>
        </is>
      </c>
      <c r="D84" s="26" t="inlineStr">
        <is>
          <t>LEVEL 4 ACOUSTIC WALL &amp; CEILING FITOUT</t>
        </is>
      </c>
      <c r="E84" s="29" t="n">
        <v>1247.7</v>
      </c>
      <c r="F84" s="29" t="n">
        <v>10</v>
      </c>
      <c r="G84" s="29" t="n">
        <v>264.6</v>
      </c>
      <c r="H84" s="29" t="n">
        <v>211.7</v>
      </c>
      <c r="I84" s="25" t="inlineStr">
        <is>
          <t>NO</t>
        </is>
      </c>
    </row>
  </sheetData>
  <mergeCells count="3">
    <mergeCell ref="A20:I20"/>
    <mergeCell ref="A3:I3"/>
    <mergeCell ref="A66:I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2026-10-22T00:33:07Z</dcterms:created>
  <dcterms:modified xsi:type="dcterms:W3CDTF">2026-10-22T00:33:07Z</dcterms:modified>
</cp:coreProperties>
</file>